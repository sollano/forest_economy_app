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 defaultThemeVersion="153222"/>
  <mc:AlternateContent xmlns:mc="http://schemas.openxmlformats.org/markup-compatibility/2006">
    <mc:Choice Requires="x15">
      <x15ac:absPath xmlns:x15ac="http://schemas.microsoft.com/office/spreadsheetml/2010/11/ac" url="D:\Documents\R\trabalhos_manejo\forest_economy_app\"/>
    </mc:Choice>
  </mc:AlternateContent>
  <bookViews>
    <workbookView xWindow="1500" yWindow="0" windowWidth="21540" windowHeight="9780"/>
  </bookViews>
  <sheets>
    <sheet name="Avaliação de Projetos" sheetId="1" r:id="rId1"/>
    <sheet name="Gráfico" sheetId="2" r:id="rId2"/>
    <sheet name="Macros" sheetId="3" state="veryHidden" r:id=""/>
  </sheets>
  <definedNames>
    <definedName name="_xlnm.Print_Area" localSheetId="0">'Avaliação de Projetos'!$A$1:$I$23</definedName>
  </definedNames>
  <calcPr calcId="162913"/>
</workbook>
</file>

<file path=xl/calcChain.xml><?xml version="1.0" encoding="utf-8"?>
<calcChain xmlns="http://schemas.openxmlformats.org/spreadsheetml/2006/main">
  <c r="F106" i="1" l="1"/>
  <c r="F105" i="1"/>
  <c r="F104" i="1"/>
  <c r="F103" i="1"/>
  <c r="F102" i="1"/>
  <c r="F101" i="1"/>
  <c r="F100" i="1"/>
  <c r="F99" i="1"/>
  <c r="F98" i="1"/>
  <c r="F97" i="1"/>
  <c r="F96" i="1"/>
  <c r="F95" i="1"/>
  <c r="F94" i="1"/>
  <c r="F93" i="1"/>
  <c r="F92" i="1"/>
  <c r="F91" i="1"/>
  <c r="F90" i="1"/>
  <c r="F89" i="1"/>
  <c r="F88" i="1"/>
  <c r="F87" i="1"/>
  <c r="F86" i="1"/>
  <c r="F85" i="1"/>
  <c r="F84" i="1"/>
  <c r="F83" i="1"/>
  <c r="F82" i="1"/>
  <c r="F81" i="1"/>
  <c r="F80" i="1"/>
  <c r="F79" i="1"/>
  <c r="F78" i="1"/>
  <c r="F77" i="1"/>
  <c r="F76" i="1"/>
  <c r="F75" i="1"/>
  <c r="F74" i="1"/>
  <c r="F73" i="1"/>
  <c r="F72" i="1"/>
  <c r="F71" i="1"/>
  <c r="F70" i="1"/>
  <c r="F69" i="1"/>
  <c r="F68" i="1"/>
  <c r="F67" i="1"/>
  <c r="F66" i="1"/>
  <c r="F65" i="1"/>
  <c r="F64" i="1"/>
  <c r="F63" i="1"/>
  <c r="F62" i="1"/>
  <c r="F61" i="1"/>
  <c r="F60" i="1"/>
  <c r="F59" i="1"/>
  <c r="F58" i="1"/>
  <c r="F57" i="1"/>
  <c r="F56" i="1"/>
  <c r="F55" i="1"/>
  <c r="F54" i="1"/>
  <c r="F53" i="1"/>
  <c r="F52" i="1"/>
  <c r="F51" i="1"/>
  <c r="F50" i="1"/>
  <c r="F49" i="1"/>
  <c r="F48" i="1"/>
  <c r="F47" i="1"/>
  <c r="F46" i="1"/>
  <c r="F45" i="1"/>
  <c r="F44" i="1"/>
  <c r="F43" i="1"/>
  <c r="F42" i="1"/>
  <c r="F41" i="1"/>
  <c r="F40" i="1"/>
  <c r="F39" i="1"/>
  <c r="F38" i="1"/>
  <c r="F37" i="1"/>
  <c r="F36" i="1"/>
  <c r="F35" i="1"/>
  <c r="F34" i="1"/>
  <c r="F33" i="1"/>
  <c r="F32" i="1"/>
  <c r="F31" i="1"/>
  <c r="F30" i="1"/>
  <c r="F29" i="1"/>
  <c r="F28" i="1"/>
  <c r="F27" i="1"/>
  <c r="F26" i="1"/>
  <c r="F25" i="1"/>
  <c r="F24" i="1"/>
  <c r="F23" i="1"/>
  <c r="F22" i="1"/>
  <c r="F21" i="1"/>
  <c r="F20" i="1"/>
  <c r="F19" i="1"/>
  <c r="F18" i="1"/>
  <c r="F17" i="1"/>
  <c r="F16" i="1"/>
  <c r="F15" i="1"/>
  <c r="F14" i="1"/>
  <c r="F13" i="1"/>
  <c r="F12" i="1"/>
  <c r="F11" i="1"/>
  <c r="F10" i="1"/>
  <c r="F9" i="1"/>
  <c r="F8" i="1"/>
  <c r="F7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Q17" i="1"/>
  <c r="Q16" i="1"/>
  <c r="Q15" i="1"/>
  <c r="Q14" i="1"/>
  <c r="Q13" i="1"/>
  <c r="Q12" i="1"/>
  <c r="Q11" i="1"/>
  <c r="Q10" i="1"/>
  <c r="Q9" i="1"/>
  <c r="Q8" i="1"/>
  <c r="Q7" i="1"/>
  <c r="Q6" i="1"/>
  <c r="Q5" i="1"/>
  <c r="Q4" i="1"/>
  <c r="Q3" i="1"/>
  <c r="Q2" i="1"/>
  <c r="P101" i="1"/>
  <c r="P100" i="1"/>
  <c r="R100" i="1" s="1"/>
  <c r="P99" i="1"/>
  <c r="R99" i="1" s="1"/>
  <c r="P98" i="1"/>
  <c r="P97" i="1"/>
  <c r="R97" i="1" s="1"/>
  <c r="P96" i="1"/>
  <c r="R96" i="1" s="1"/>
  <c r="P95" i="1"/>
  <c r="R95" i="1" s="1"/>
  <c r="P94" i="1"/>
  <c r="R94" i="1" s="1"/>
  <c r="P93" i="1"/>
  <c r="R93" i="1" s="1"/>
  <c r="P92" i="1"/>
  <c r="R92" i="1" s="1"/>
  <c r="P91" i="1"/>
  <c r="R91" i="1" s="1"/>
  <c r="P90" i="1"/>
  <c r="R90" i="1" s="1"/>
  <c r="P89" i="1"/>
  <c r="R89" i="1" s="1"/>
  <c r="P88" i="1"/>
  <c r="R88" i="1" s="1"/>
  <c r="P87" i="1"/>
  <c r="R87" i="1" s="1"/>
  <c r="P86" i="1"/>
  <c r="R86" i="1" s="1"/>
  <c r="P85" i="1"/>
  <c r="R85" i="1" s="1"/>
  <c r="P84" i="1"/>
  <c r="R84" i="1" s="1"/>
  <c r="P83" i="1"/>
  <c r="R83" i="1" s="1"/>
  <c r="P82" i="1"/>
  <c r="R82" i="1" s="1"/>
  <c r="P81" i="1"/>
  <c r="R81" i="1" s="1"/>
  <c r="P80" i="1"/>
  <c r="R80" i="1" s="1"/>
  <c r="P79" i="1"/>
  <c r="R79" i="1" s="1"/>
  <c r="P78" i="1"/>
  <c r="R78" i="1" s="1"/>
  <c r="P77" i="1"/>
  <c r="R77" i="1" s="1"/>
  <c r="P76" i="1"/>
  <c r="R76" i="1" s="1"/>
  <c r="P75" i="1"/>
  <c r="R75" i="1" s="1"/>
  <c r="P74" i="1"/>
  <c r="R74" i="1" s="1"/>
  <c r="P73" i="1"/>
  <c r="R73" i="1" s="1"/>
  <c r="P72" i="1"/>
  <c r="R72" i="1" s="1"/>
  <c r="P71" i="1"/>
  <c r="R71" i="1" s="1"/>
  <c r="P70" i="1"/>
  <c r="R70" i="1" s="1"/>
  <c r="P69" i="1"/>
  <c r="R69" i="1" s="1"/>
  <c r="P68" i="1"/>
  <c r="R68" i="1" s="1"/>
  <c r="P67" i="1"/>
  <c r="R67" i="1" s="1"/>
  <c r="P66" i="1"/>
  <c r="R66" i="1" s="1"/>
  <c r="P65" i="1"/>
  <c r="R65" i="1" s="1"/>
  <c r="P64" i="1"/>
  <c r="P63" i="1"/>
  <c r="R63" i="1" s="1"/>
  <c r="P62" i="1"/>
  <c r="R62" i="1" s="1"/>
  <c r="P61" i="1"/>
  <c r="R61" i="1" s="1"/>
  <c r="P60" i="1"/>
  <c r="R60" i="1" s="1"/>
  <c r="P59" i="1"/>
  <c r="R59" i="1" s="1"/>
  <c r="P58" i="1"/>
  <c r="R58" i="1" s="1"/>
  <c r="P57" i="1"/>
  <c r="R57" i="1" s="1"/>
  <c r="P56" i="1"/>
  <c r="R56" i="1" s="1"/>
  <c r="P55" i="1"/>
  <c r="R55" i="1" s="1"/>
  <c r="P54" i="1"/>
  <c r="R54" i="1" s="1"/>
  <c r="P53" i="1"/>
  <c r="R53" i="1" s="1"/>
  <c r="P52" i="1"/>
  <c r="R52" i="1" s="1"/>
  <c r="P51" i="1"/>
  <c r="R51" i="1" s="1"/>
  <c r="P50" i="1"/>
  <c r="R50" i="1" s="1"/>
  <c r="P49" i="1"/>
  <c r="R49" i="1" s="1"/>
  <c r="P48" i="1"/>
  <c r="R48" i="1" s="1"/>
  <c r="P47" i="1"/>
  <c r="R47" i="1" s="1"/>
  <c r="P46" i="1"/>
  <c r="R46" i="1" s="1"/>
  <c r="P45" i="1"/>
  <c r="R45" i="1" s="1"/>
  <c r="P44" i="1"/>
  <c r="R44" i="1" s="1"/>
  <c r="P43" i="1"/>
  <c r="R43" i="1" s="1"/>
  <c r="P42" i="1"/>
  <c r="R42" i="1" s="1"/>
  <c r="P41" i="1"/>
  <c r="R41" i="1" s="1"/>
  <c r="P40" i="1"/>
  <c r="R40" i="1" s="1"/>
  <c r="P39" i="1"/>
  <c r="R39" i="1" s="1"/>
  <c r="P38" i="1"/>
  <c r="R38" i="1" s="1"/>
  <c r="P37" i="1"/>
  <c r="R37" i="1" s="1"/>
  <c r="P36" i="1"/>
  <c r="R36" i="1" s="1"/>
  <c r="P35" i="1"/>
  <c r="R35" i="1" s="1"/>
  <c r="P34" i="1"/>
  <c r="R34" i="1" s="1"/>
  <c r="P33" i="1"/>
  <c r="R33" i="1" s="1"/>
  <c r="P32" i="1"/>
  <c r="R32" i="1" s="1"/>
  <c r="P31" i="1"/>
  <c r="R31" i="1" s="1"/>
  <c r="P30" i="1"/>
  <c r="R30" i="1" s="1"/>
  <c r="P29" i="1"/>
  <c r="R29" i="1" s="1"/>
  <c r="P28" i="1"/>
  <c r="R28" i="1" s="1"/>
  <c r="P27" i="1"/>
  <c r="R27" i="1" s="1"/>
  <c r="P26" i="1"/>
  <c r="R26" i="1" s="1"/>
  <c r="P25" i="1"/>
  <c r="R25" i="1" s="1"/>
  <c r="P24" i="1"/>
  <c r="R24" i="1" s="1"/>
  <c r="P23" i="1"/>
  <c r="R23" i="1" s="1"/>
  <c r="P22" i="1"/>
  <c r="R22" i="1" s="1"/>
  <c r="P21" i="1"/>
  <c r="R21" i="1" s="1"/>
  <c r="P20" i="1"/>
  <c r="R20" i="1" s="1"/>
  <c r="P19" i="1"/>
  <c r="R19" i="1" s="1"/>
  <c r="P18" i="1"/>
  <c r="R18" i="1" s="1"/>
  <c r="P17" i="1"/>
  <c r="R17" i="1" s="1"/>
  <c r="P16" i="1"/>
  <c r="R16" i="1" s="1"/>
  <c r="P15" i="1"/>
  <c r="R15" i="1" s="1"/>
  <c r="P14" i="1"/>
  <c r="P13" i="1"/>
  <c r="R13" i="1" s="1"/>
  <c r="P12" i="1"/>
  <c r="R12" i="1" s="1"/>
  <c r="P11" i="1"/>
  <c r="R11" i="1" s="1"/>
  <c r="P10" i="1"/>
  <c r="R10" i="1" s="1"/>
  <c r="P9" i="1"/>
  <c r="R9" i="1" s="1"/>
  <c r="P8" i="1"/>
  <c r="P7" i="1"/>
  <c r="R7" i="1" s="1"/>
  <c r="P6" i="1"/>
  <c r="R6" i="1" s="1"/>
  <c r="P5" i="1"/>
  <c r="P4" i="1"/>
  <c r="R4" i="1" s="1"/>
  <c r="P3" i="1"/>
  <c r="R3" i="1" s="1"/>
  <c r="P2" i="1"/>
  <c r="R2" i="1" s="1"/>
  <c r="N27" i="1"/>
  <c r="N26" i="1"/>
  <c r="N25" i="1"/>
  <c r="N24" i="1"/>
  <c r="N23" i="1"/>
  <c r="N22" i="1"/>
  <c r="N21" i="1"/>
  <c r="N20" i="1"/>
  <c r="N19" i="1"/>
  <c r="N18" i="1"/>
  <c r="N17" i="1"/>
  <c r="N16" i="1"/>
  <c r="N15" i="1"/>
  <c r="N14" i="1"/>
  <c r="N13" i="1"/>
  <c r="N12" i="1"/>
  <c r="N11" i="1"/>
  <c r="N10" i="1"/>
  <c r="N9" i="1"/>
  <c r="N8" i="1"/>
  <c r="N7" i="1"/>
  <c r="N6" i="1"/>
  <c r="N5" i="1"/>
  <c r="N4" i="1"/>
  <c r="N3" i="1"/>
  <c r="N2" i="1"/>
  <c r="G106" i="1"/>
  <c r="G105" i="1"/>
  <c r="G104" i="1"/>
  <c r="G103" i="1"/>
  <c r="G102" i="1"/>
  <c r="G101" i="1"/>
  <c r="G100" i="1"/>
  <c r="G99" i="1"/>
  <c r="G98" i="1"/>
  <c r="G97" i="1"/>
  <c r="G96" i="1"/>
  <c r="G95" i="1"/>
  <c r="G94" i="1"/>
  <c r="G93" i="1"/>
  <c r="G92" i="1"/>
  <c r="G91" i="1"/>
  <c r="G90" i="1"/>
  <c r="G89" i="1"/>
  <c r="G88" i="1"/>
  <c r="G87" i="1"/>
  <c r="G86" i="1"/>
  <c r="G85" i="1"/>
  <c r="G84" i="1"/>
  <c r="G83" i="1"/>
  <c r="G82" i="1"/>
  <c r="G81" i="1"/>
  <c r="G80" i="1"/>
  <c r="G79" i="1"/>
  <c r="G78" i="1"/>
  <c r="G77" i="1"/>
  <c r="G76" i="1"/>
  <c r="G75" i="1"/>
  <c r="G74" i="1"/>
  <c r="G73" i="1"/>
  <c r="G72" i="1"/>
  <c r="G71" i="1"/>
  <c r="G70" i="1"/>
  <c r="G69" i="1"/>
  <c r="G68" i="1"/>
  <c r="G67" i="1"/>
  <c r="G66" i="1"/>
  <c r="G65" i="1"/>
  <c r="G64" i="1"/>
  <c r="G63" i="1"/>
  <c r="G62" i="1"/>
  <c r="G61" i="1"/>
  <c r="G60" i="1"/>
  <c r="G59" i="1"/>
  <c r="G58" i="1"/>
  <c r="G57" i="1"/>
  <c r="G56" i="1"/>
  <c r="G55" i="1"/>
  <c r="G54" i="1"/>
  <c r="G53" i="1"/>
  <c r="G52" i="1"/>
  <c r="G51" i="1"/>
  <c r="G50" i="1"/>
  <c r="G49" i="1"/>
  <c r="G48" i="1"/>
  <c r="G47" i="1"/>
  <c r="G46" i="1"/>
  <c r="G45" i="1"/>
  <c r="G44" i="1"/>
  <c r="G43" i="1"/>
  <c r="G42" i="1"/>
  <c r="G41" i="1"/>
  <c r="G40" i="1"/>
  <c r="G39" i="1"/>
  <c r="G38" i="1"/>
  <c r="G37" i="1"/>
  <c r="G36" i="1"/>
  <c r="G35" i="1"/>
  <c r="G34" i="1"/>
  <c r="G33" i="1"/>
  <c r="G25" i="1"/>
  <c r="F2" i="1"/>
  <c r="G9" i="1" s="1"/>
  <c r="D106" i="1"/>
  <c r="D105" i="1"/>
  <c r="D104" i="1"/>
  <c r="D103" i="1"/>
  <c r="D102" i="1"/>
  <c r="D101" i="1"/>
  <c r="D100" i="1"/>
  <c r="D99" i="1"/>
  <c r="D98" i="1"/>
  <c r="D97" i="1"/>
  <c r="D96" i="1"/>
  <c r="D95" i="1"/>
  <c r="D94" i="1"/>
  <c r="D93" i="1"/>
  <c r="D92" i="1"/>
  <c r="D91" i="1"/>
  <c r="D90" i="1"/>
  <c r="D89" i="1"/>
  <c r="D88" i="1"/>
  <c r="D87" i="1"/>
  <c r="D86" i="1"/>
  <c r="D85" i="1"/>
  <c r="D84" i="1"/>
  <c r="D83" i="1"/>
  <c r="D82" i="1"/>
  <c r="D81" i="1"/>
  <c r="D80" i="1"/>
  <c r="D79" i="1"/>
  <c r="D78" i="1"/>
  <c r="D77" i="1"/>
  <c r="D76" i="1"/>
  <c r="D75" i="1"/>
  <c r="D74" i="1"/>
  <c r="D73" i="1"/>
  <c r="D72" i="1"/>
  <c r="D71" i="1"/>
  <c r="D70" i="1"/>
  <c r="D69" i="1"/>
  <c r="D68" i="1"/>
  <c r="D67" i="1"/>
  <c r="D66" i="1"/>
  <c r="D65" i="1"/>
  <c r="D64" i="1"/>
  <c r="D63" i="1"/>
  <c r="D62" i="1"/>
  <c r="D61" i="1"/>
  <c r="D60" i="1"/>
  <c r="D59" i="1"/>
  <c r="D58" i="1"/>
  <c r="D57" i="1"/>
  <c r="D56" i="1"/>
  <c r="D55" i="1"/>
  <c r="D54" i="1"/>
  <c r="D53" i="1"/>
  <c r="D52" i="1"/>
  <c r="D51" i="1"/>
  <c r="D50" i="1"/>
  <c r="D49" i="1"/>
  <c r="D48" i="1"/>
  <c r="D47" i="1"/>
  <c r="D46" i="1"/>
  <c r="D45" i="1"/>
  <c r="D44" i="1"/>
  <c r="D43" i="1"/>
  <c r="D42" i="1"/>
  <c r="D41" i="1"/>
  <c r="D40" i="1"/>
  <c r="D39" i="1"/>
  <c r="D38" i="1"/>
  <c r="D37" i="1"/>
  <c r="D36" i="1"/>
  <c r="D35" i="1"/>
  <c r="D34" i="1"/>
  <c r="D33" i="1"/>
  <c r="D32" i="1"/>
  <c r="D31" i="1"/>
  <c r="D30" i="1"/>
  <c r="D29" i="1"/>
  <c r="D28" i="1"/>
  <c r="D27" i="1"/>
  <c r="D26" i="1"/>
  <c r="D25" i="1"/>
  <c r="D24" i="1"/>
  <c r="D23" i="1"/>
  <c r="D22" i="1"/>
  <c r="D21" i="1"/>
  <c r="D20" i="1"/>
  <c r="D19" i="1"/>
  <c r="D18" i="1"/>
  <c r="D17" i="1"/>
  <c r="D16" i="1"/>
  <c r="D15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R98" i="1" l="1"/>
  <c r="R8" i="1"/>
  <c r="R101" i="1"/>
  <c r="G17" i="1"/>
  <c r="R14" i="1"/>
  <c r="G19" i="1"/>
  <c r="G27" i="1"/>
  <c r="G21" i="1"/>
  <c r="G29" i="1"/>
  <c r="G23" i="1"/>
  <c r="G31" i="1"/>
  <c r="G18" i="1"/>
  <c r="G22" i="1"/>
  <c r="G26" i="1"/>
  <c r="G30" i="1"/>
  <c r="G20" i="1"/>
  <c r="G24" i="1"/>
  <c r="G28" i="1"/>
  <c r="G32" i="1"/>
  <c r="G16" i="1"/>
  <c r="G15" i="1"/>
  <c r="G14" i="1"/>
  <c r="D14" i="1"/>
  <c r="R5" i="1"/>
  <c r="R64" i="1"/>
  <c r="D12" i="1"/>
  <c r="J25" i="1"/>
  <c r="J27" i="1"/>
  <c r="J23" i="1"/>
  <c r="J21" i="1"/>
  <c r="J19" i="1"/>
  <c r="J17" i="1"/>
  <c r="J15" i="1"/>
  <c r="J13" i="1"/>
  <c r="J9" i="1"/>
  <c r="J7" i="1"/>
  <c r="J5" i="1"/>
  <c r="J4" i="1"/>
  <c r="J12" i="1"/>
  <c r="J16" i="1"/>
  <c r="J20" i="1"/>
  <c r="J24" i="1"/>
  <c r="J2" i="1"/>
  <c r="J6" i="1"/>
  <c r="J10" i="1"/>
  <c r="J14" i="1"/>
  <c r="J18" i="1"/>
  <c r="J22" i="1"/>
  <c r="J26" i="1"/>
  <c r="J8" i="1"/>
  <c r="J3" i="1"/>
  <c r="J11" i="1"/>
  <c r="D13" i="1"/>
  <c r="G13" i="1"/>
  <c r="G12" i="1"/>
  <c r="G11" i="1"/>
  <c r="D11" i="1"/>
  <c r="G10" i="1"/>
  <c r="D10" i="1"/>
  <c r="D7" i="1"/>
  <c r="G7" i="1"/>
  <c r="D8" i="1"/>
  <c r="G8" i="1"/>
  <c r="D9" i="1"/>
  <c r="C5" i="1"/>
  <c r="F5" i="1" l="1"/>
  <c r="I3" i="1" s="1"/>
  <c r="D5" i="1"/>
  <c r="G5" i="1"/>
  <c r="I12" i="1" l="1"/>
  <c r="I15" i="1"/>
  <c r="I6" i="1"/>
  <c r="I9" i="1"/>
  <c r="I18" i="1" s="1"/>
  <c r="I27" i="1" l="1"/>
  <c r="I26" i="1"/>
</calcChain>
</file>

<file path=xl/sharedStrings.xml><?xml version="1.0" encoding="utf-8"?>
<sst xmlns="http://schemas.openxmlformats.org/spreadsheetml/2006/main" count="40" uniqueCount="34">
  <si>
    <t>Taxa</t>
  </si>
  <si>
    <t>VP Custos</t>
  </si>
  <si>
    <t>VP Receitas</t>
  </si>
  <si>
    <t>Taxa =</t>
  </si>
  <si>
    <t>n =</t>
  </si>
  <si>
    <t>Valor Presente Líquido</t>
  </si>
  <si>
    <t xml:space="preserve">Macros: </t>
  </si>
  <si>
    <t>Limpa dados (Ctrl-L)</t>
  </si>
  <si>
    <t>Exemplo (Ctrl-E)</t>
  </si>
  <si>
    <t>Cálculo para intervalo de taxas  (Ctrl-R)</t>
  </si>
  <si>
    <t>VPL=</t>
  </si>
  <si>
    <t>Custos</t>
  </si>
  <si>
    <t>Receitas</t>
  </si>
  <si>
    <t>Valor Futuro Líquido</t>
  </si>
  <si>
    <t>Ano</t>
  </si>
  <si>
    <t>Valor</t>
  </si>
  <si>
    <r>
      <t xml:space="preserve">Ano </t>
    </r>
    <r>
      <rPr>
        <i/>
        <sz val="10"/>
        <rFont val="Arial"/>
        <family val="2"/>
      </rPr>
      <t>0</t>
    </r>
  </si>
  <si>
    <r>
      <t xml:space="preserve">Ano </t>
    </r>
    <r>
      <rPr>
        <i/>
        <sz val="10"/>
        <rFont val="Arial"/>
        <family val="2"/>
      </rPr>
      <t>n</t>
    </r>
    <r>
      <rPr>
        <sz val="10"/>
        <rFont val="Arial"/>
        <family val="2"/>
      </rPr>
      <t xml:space="preserve"> </t>
    </r>
  </si>
  <si>
    <t>VFL=</t>
  </si>
  <si>
    <t>Razão Benefício/Custo</t>
  </si>
  <si>
    <t>B/C=</t>
  </si>
  <si>
    <t>Valor Esperado da Terra</t>
  </si>
  <si>
    <t>VET=</t>
  </si>
  <si>
    <t>VPL Anualizado</t>
  </si>
  <si>
    <t>VPLA=</t>
  </si>
  <si>
    <t>Máxima</t>
  </si>
  <si>
    <t>Mínima</t>
  </si>
  <si>
    <t>Ʃ</t>
  </si>
  <si>
    <t>TIR (Excel)</t>
  </si>
  <si>
    <t>TIR=</t>
  </si>
  <si>
    <t>Receita</t>
  </si>
  <si>
    <t>Custo</t>
  </si>
  <si>
    <t>Rec. Líq.</t>
  </si>
  <si>
    <t>Taxas p/ gráfico da TIR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</si>
</sst>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_-* #,##0.00_-;\-* #,##0.00_-;_-* &quot;-&quot;??_-;_-@_-"/>
    <numFmt numFmtId="165" formatCode="0.000%"/>
  </numFmts>
  <fonts count="13" x14ac:knownFonts="1">
    <font>
      <sz val="10"/>
      <name val="Arial"/>
    </font>
    <font>
      <b/>
      <sz val="10"/>
      <name val="Arial"/>
      <family val="2"/>
    </font>
    <font>
      <i/>
      <sz val="10"/>
      <name val="Arial"/>
      <family val="2"/>
    </font>
    <font>
      <b/>
      <i/>
      <sz val="1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i/>
      <sz val="12"/>
      <name val="Arial"/>
      <family val="2"/>
    </font>
    <font>
      <i/>
      <sz val="10"/>
      <name val="Arial"/>
      <family val="2"/>
    </font>
    <font>
      <sz val="10"/>
      <name val="Arial"/>
      <family val="2"/>
    </font>
    <font>
      <sz val="10"/>
      <color theme="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2"/>
        <bgColor indexed="64"/>
      </patternFill>
    </fill>
  </fills>
  <borders count="34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/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164" fontId="11" fillId="0" borderId="0" applyFont="0" applyFill="0" applyBorder="0" applyAlignment="0" applyProtection="0"/>
  </cellStyleXfs>
  <cellXfs count="66">
    <xf numFmtId="0" fontId="0" fillId="0" borderId="0" xfId="0"/>
    <xf numFmtId="0" fontId="0" fillId="0" borderId="0" xfId="0" applyAlignment="1">
      <alignment horizontal="right"/>
    </xf>
    <xf numFmtId="2" fontId="0" fillId="0" borderId="0" xfId="0" applyNumberFormat="1"/>
    <xf numFmtId="0" fontId="0" fillId="0" borderId="1" xfId="0" applyBorder="1" applyAlignment="1" applyProtection="1">
      <alignment horizontal="right"/>
    </xf>
    <xf numFmtId="0" fontId="0" fillId="0" borderId="0" xfId="0" quotePrefix="1"/>
    <xf numFmtId="0" fontId="0" fillId="0" borderId="0" xfId="0" applyBorder="1" applyProtection="1"/>
    <xf numFmtId="0" fontId="0" fillId="0" borderId="0" xfId="0" applyBorder="1"/>
    <xf numFmtId="0" fontId="0" fillId="0" borderId="4" xfId="0" applyBorder="1" applyAlignment="1" applyProtection="1">
      <alignment horizontal="right"/>
    </xf>
    <xf numFmtId="0" fontId="1" fillId="0" borderId="5" xfId="0" applyFont="1" applyBorder="1" applyAlignment="1">
      <alignment horizontal="right"/>
    </xf>
    <xf numFmtId="0" fontId="3" fillId="0" borderId="5" xfId="0" applyFont="1" applyBorder="1" applyAlignment="1">
      <alignment horizontal="right"/>
    </xf>
    <xf numFmtId="0" fontId="0" fillId="0" borderId="7" xfId="0" applyBorder="1" applyAlignment="1" applyProtection="1">
      <alignment horizontal="right"/>
    </xf>
    <xf numFmtId="0" fontId="0" fillId="0" borderId="8" xfId="0" applyBorder="1" applyAlignment="1" applyProtection="1">
      <alignment horizontal="right"/>
    </xf>
    <xf numFmtId="2" fontId="0" fillId="0" borderId="0" xfId="0" applyNumberFormat="1" applyFill="1"/>
    <xf numFmtId="2" fontId="0" fillId="0" borderId="10" xfId="0" applyNumberFormat="1" applyFill="1" applyBorder="1"/>
    <xf numFmtId="0" fontId="0" fillId="0" borderId="6" xfId="0" applyBorder="1" applyProtection="1"/>
    <xf numFmtId="0" fontId="6" fillId="0" borderId="0" xfId="0" applyFont="1" applyAlignment="1">
      <alignment horizontal="right"/>
    </xf>
    <xf numFmtId="0" fontId="7" fillId="0" borderId="0" xfId="0" applyFont="1" applyAlignment="1">
      <alignment horizontal="right"/>
    </xf>
    <xf numFmtId="0" fontId="7" fillId="0" borderId="0" xfId="0" applyFont="1" applyAlignment="1">
      <alignment horizontal="left"/>
    </xf>
    <xf numFmtId="0" fontId="7" fillId="0" borderId="0" xfId="0" applyFont="1"/>
    <xf numFmtId="2" fontId="7" fillId="0" borderId="0" xfId="0" applyNumberFormat="1" applyFont="1"/>
    <xf numFmtId="0" fontId="8" fillId="0" borderId="0" xfId="0" applyFont="1" applyAlignment="1">
      <alignment horizontal="left"/>
    </xf>
    <xf numFmtId="10" fontId="0" fillId="2" borderId="6" xfId="0" applyNumberFormat="1" applyFill="1" applyBorder="1" applyAlignment="1" applyProtection="1">
      <alignment horizontal="center"/>
      <protection locked="0"/>
    </xf>
    <xf numFmtId="2" fontId="0" fillId="0" borderId="12" xfId="0" applyNumberFormat="1" applyFill="1" applyBorder="1"/>
    <xf numFmtId="2" fontId="0" fillId="0" borderId="14" xfId="0" applyNumberFormat="1" applyFill="1" applyBorder="1"/>
    <xf numFmtId="0" fontId="0" fillId="2" borderId="15" xfId="0" applyFill="1" applyBorder="1" applyProtection="1">
      <protection locked="0"/>
    </xf>
    <xf numFmtId="0" fontId="0" fillId="2" borderId="16" xfId="0" applyFill="1" applyBorder="1" applyProtection="1">
      <protection locked="0"/>
    </xf>
    <xf numFmtId="2" fontId="0" fillId="0" borderId="5" xfId="0" applyNumberFormat="1" applyFill="1" applyBorder="1" applyProtection="1"/>
    <xf numFmtId="2" fontId="0" fillId="0" borderId="6" xfId="0" applyNumberFormat="1" applyFill="1" applyBorder="1" applyProtection="1"/>
    <xf numFmtId="0" fontId="0" fillId="2" borderId="18" xfId="0" applyFill="1" applyBorder="1" applyProtection="1">
      <protection locked="0"/>
    </xf>
    <xf numFmtId="2" fontId="0" fillId="0" borderId="11" xfId="0" applyNumberFormat="1" applyFill="1" applyBorder="1"/>
    <xf numFmtId="2" fontId="0" fillId="0" borderId="13" xfId="0" applyNumberFormat="1" applyFill="1" applyBorder="1"/>
    <xf numFmtId="2" fontId="0" fillId="0" borderId="23" xfId="0" applyNumberFormat="1" applyFill="1" applyBorder="1" applyProtection="1"/>
    <xf numFmtId="2" fontId="0" fillId="0" borderId="24" xfId="0" applyNumberFormat="1" applyFill="1" applyBorder="1"/>
    <xf numFmtId="2" fontId="0" fillId="0" borderId="25" xfId="0" applyNumberFormat="1" applyFill="1" applyBorder="1"/>
    <xf numFmtId="0" fontId="0" fillId="0" borderId="4" xfId="0" applyBorder="1" applyAlignment="1" applyProtection="1">
      <alignment horizontal="center" vertical="center"/>
    </xf>
    <xf numFmtId="0" fontId="0" fillId="0" borderId="26" xfId="0" applyBorder="1" applyAlignment="1" applyProtection="1">
      <alignment horizontal="center" vertical="center"/>
    </xf>
    <xf numFmtId="0" fontId="9" fillId="0" borderId="19" xfId="0" applyFont="1" applyBorder="1" applyAlignment="1" applyProtection="1">
      <alignment horizontal="right"/>
    </xf>
    <xf numFmtId="0" fontId="5" fillId="0" borderId="0" xfId="0" applyFont="1" applyAlignment="1">
      <alignment horizontal="left"/>
    </xf>
    <xf numFmtId="0" fontId="4" fillId="0" borderId="0" xfId="0" applyFont="1" applyAlignment="1">
      <alignment horizontal="right"/>
    </xf>
    <xf numFmtId="2" fontId="0" fillId="0" borderId="0" xfId="0" applyNumberFormat="1" applyBorder="1" applyProtection="1">
      <protection locked="0"/>
    </xf>
    <xf numFmtId="2" fontId="0" fillId="0" borderId="0" xfId="0" applyNumberFormat="1" applyBorder="1"/>
    <xf numFmtId="10" fontId="0" fillId="3" borderId="27" xfId="0" applyNumberFormat="1" applyFill="1" applyBorder="1" applyProtection="1">
      <protection locked="0"/>
    </xf>
    <xf numFmtId="10" fontId="0" fillId="3" borderId="29" xfId="0" applyNumberFormat="1" applyFill="1" applyBorder="1" applyProtection="1">
      <protection locked="0"/>
    </xf>
    <xf numFmtId="2" fontId="0" fillId="0" borderId="9" xfId="0" applyNumberFormat="1" applyBorder="1" applyProtection="1">
      <protection locked="0"/>
    </xf>
    <xf numFmtId="0" fontId="0" fillId="3" borderId="31" xfId="0" applyFill="1" applyBorder="1" applyAlignment="1">
      <alignment horizontal="right"/>
    </xf>
    <xf numFmtId="0" fontId="0" fillId="3" borderId="32" xfId="0" applyFill="1" applyBorder="1" applyAlignment="1">
      <alignment horizontal="right"/>
    </xf>
    <xf numFmtId="0" fontId="4" fillId="3" borderId="33" xfId="0" applyFont="1" applyFill="1" applyBorder="1" applyAlignment="1">
      <alignment horizontal="right"/>
    </xf>
    <xf numFmtId="0" fontId="4" fillId="3" borderId="32" xfId="0" applyFont="1" applyFill="1" applyBorder="1" applyAlignment="1">
      <alignment horizontal="right"/>
    </xf>
    <xf numFmtId="2" fontId="0" fillId="0" borderId="9" xfId="0" applyNumberFormat="1" applyBorder="1"/>
    <xf numFmtId="0" fontId="4" fillId="3" borderId="31" xfId="0" applyFont="1" applyFill="1" applyBorder="1" applyAlignment="1">
      <alignment horizontal="right"/>
    </xf>
    <xf numFmtId="0" fontId="0" fillId="3" borderId="27" xfId="0" applyFill="1" applyBorder="1"/>
    <xf numFmtId="40" fontId="10" fillId="0" borderId="28" xfId="0" applyNumberFormat="1" applyFont="1" applyBorder="1"/>
    <xf numFmtId="0" fontId="0" fillId="3" borderId="29" xfId="0" applyFill="1" applyBorder="1"/>
    <xf numFmtId="0" fontId="0" fillId="0" borderId="9" xfId="0" applyBorder="1"/>
    <xf numFmtId="40" fontId="10" fillId="0" borderId="30" xfId="0" applyNumberFormat="1" applyFont="1" applyBorder="1"/>
    <xf numFmtId="10" fontId="0" fillId="0" borderId="10" xfId="0" applyNumberFormat="1" applyBorder="1"/>
    <xf numFmtId="164" fontId="0" fillId="2" borderId="20" xfId="1" applyFont="1" applyFill="1" applyBorder="1" applyProtection="1">
      <protection locked="0"/>
    </xf>
    <xf numFmtId="164" fontId="0" fillId="2" borderId="21" xfId="1" applyFont="1" applyFill="1" applyBorder="1" applyProtection="1">
      <protection locked="0"/>
    </xf>
    <xf numFmtId="164" fontId="0" fillId="2" borderId="22" xfId="1" applyFont="1" applyFill="1" applyBorder="1" applyProtection="1">
      <protection locked="0"/>
    </xf>
    <xf numFmtId="0" fontId="12" fillId="0" borderId="0" xfId="0" applyFont="1"/>
    <xf numFmtId="0" fontId="12" fillId="0" borderId="0" xfId="0" applyFont="1" applyAlignment="1">
      <alignment horizontal="left"/>
    </xf>
    <xf numFmtId="0" fontId="12" fillId="0" borderId="0" xfId="0" applyFont="1" applyAlignment="1">
      <alignment horizontal="right"/>
    </xf>
    <xf numFmtId="165" fontId="12" fillId="0" borderId="0" xfId="0" applyNumberFormat="1" applyFont="1" applyBorder="1" applyProtection="1">
      <protection locked="0"/>
    </xf>
    <xf numFmtId="0" fontId="1" fillId="0" borderId="3" xfId="0" applyFont="1" applyBorder="1" applyAlignment="1" applyProtection="1">
      <alignment horizontal="left" vertical="center"/>
    </xf>
    <xf numFmtId="0" fontId="1" fillId="0" borderId="2" xfId="0" applyFont="1" applyBorder="1" applyAlignment="1" applyProtection="1">
      <alignment horizontal="left" vertical="center"/>
    </xf>
    <xf numFmtId="0" fontId="1" fillId="0" borderId="17" xfId="0" applyFont="1" applyBorder="1" applyAlignment="1" applyProtection="1">
      <alignment horizontal="left" vertical="center"/>
    </xf>
  </cellXfs>
  <cellStyles count="2">
    <cellStyle name="Normal" xfId="0" builtinId="0"/>
    <cellStyle name="Vírgula" xfId="1" builtinId="3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pt-BR"/>
              <a:t>Valores Presentes</a:t>
            </a:r>
          </a:p>
        </c:rich>
      </c:tx>
      <c:layout>
        <c:manualLayout>
          <c:xMode val="edge"/>
          <c:yMode val="edge"/>
          <c:x val="0.42025089605734761"/>
          <c:y val="1.95312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2724014336917558E-2"/>
          <c:y val="0.109375"/>
          <c:w val="0.77777777777777768"/>
          <c:h val="0.78776041666666663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'Avaliação de Projetos'!$L$1</c:f>
              <c:strCache>
                <c:ptCount val="1"/>
                <c:pt idx="0">
                  <c:v>VP Custos</c:v>
                </c:pt>
              </c:strCache>
            </c:strRef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'Avaliação de Projetos'!$K$2:$K$27</c:f>
              <c:numCache>
                <c:formatCode>0,00%</c:formatCode>
                <c:ptCount val="26"/>
              </c:numCache>
            </c:numRef>
          </c:xVal>
          <c:yVal>
            <c:numRef>
              <c:f>'Avaliação de Projetos'!$L$2:$L$27</c:f>
              <c:numCache>
                <c:formatCode>0,00</c:formatCode>
                <c:ptCount val="26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D81-4538-84AC-9119886143AB}"/>
            </c:ext>
          </c:extLst>
        </c:ser>
        <c:ser>
          <c:idx val="1"/>
          <c:order val="1"/>
          <c:tx>
            <c:strRef>
              <c:f>'Avaliação de Projetos'!$M$1</c:f>
              <c:strCache>
                <c:ptCount val="1"/>
                <c:pt idx="0">
                  <c:v>VP Receitas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'Avaliação de Projetos'!$K$2:$K$27</c:f>
              <c:numCache>
                <c:formatCode>0,00%</c:formatCode>
                <c:ptCount val="26"/>
              </c:numCache>
            </c:numRef>
          </c:xVal>
          <c:yVal>
            <c:numRef>
              <c:f>'Avaliação de Projetos'!$M$2:$M$27</c:f>
              <c:numCache>
                <c:formatCode>0,00</c:formatCode>
                <c:ptCount val="26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D81-4538-84AC-9119886143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497232"/>
        <c:axId val="181491248"/>
      </c:scatterChart>
      <c:valAx>
        <c:axId val="18149723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pt-BR"/>
                  <a:t>Taxa de Juros</a:t>
                </a:r>
              </a:p>
            </c:rich>
          </c:tx>
          <c:layout>
            <c:manualLayout>
              <c:xMode val="edge"/>
              <c:yMode val="edge"/>
              <c:x val="0.3996415770609319"/>
              <c:y val="0.94921875"/>
            </c:manualLayout>
          </c:layout>
          <c:overlay val="0"/>
          <c:spPr>
            <a:noFill/>
            <a:ln w="25400">
              <a:noFill/>
            </a:ln>
          </c:spPr>
        </c:title>
        <c:numFmt formatCode="#.#00%" sourceLinked="0"/>
        <c:majorTickMark val="cross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181491248"/>
        <c:crosses val="autoZero"/>
        <c:crossBetween val="midCat"/>
      </c:valAx>
      <c:valAx>
        <c:axId val="181491248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pt-BR"/>
                  <a:t>Valor Presente (VP)</a:t>
                </a:r>
              </a:p>
            </c:rich>
          </c:tx>
          <c:layout>
            <c:manualLayout>
              <c:xMode val="edge"/>
              <c:yMode val="edge"/>
              <c:x val="8.0645161290322578E-3"/>
              <c:y val="0.39713541666666663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cross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181497232"/>
        <c:crosses val="autoZero"/>
        <c:crossBetween val="midCat"/>
      </c:valAx>
      <c:spPr>
        <a:noFill/>
        <a:ln w="3175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7365591397849462"/>
          <c:y val="0.46875"/>
          <c:w val="0.12455197132616488"/>
          <c:h val="6.64062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pt-BR"/>
        </a:p>
      </c:txPr>
    </c:legend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pt-BR"/>
    </a:p>
  </c:txPr>
</c:chartSpac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Gráf2"/>
  <sheetViews>
    <sheetView zoomScale="71" workbookViewId="0"/>
  </sheetViews>
  <pageMargins left="0.78740157499999996" right="0.78740157499999996" top="0.984251969" bottom="0.984251969" header="0.49212598499999999" footer="0.49212598499999999"/>
  <pageSetup orientation="landscape" horizontalDpi="300" verticalDpi="300" r:id="rId1"/>
  <headerFooter alignWithMargins="0">
    <oddHeader>&amp;A</oddHeader>
    <oddFooter>Página &amp;P</oddFooter>
  </headerFooter>
  <drawing r:id="rId2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500056" cy="5849155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R212"/>
  <sheetViews>
    <sheetView showGridLines="0" tabSelected="1" workbookViewId="0">
      <selection activeCell="I3" sqref="I3"/>
    </sheetView>
  </sheetViews>
  <sheetFormatPr defaultColWidth="11.44140625" defaultRowHeight="13.2" x14ac:dyDescent="0.25"/>
  <cols>
    <col min="1" max="2" width="11.44140625" customWidth="1"/>
    <col min="3" max="4" width="11.5546875" style="2" customWidth="1"/>
    <col min="5" max="5" width="12.88671875" customWidth="1"/>
    <col min="6" max="7" width="11.5546875" style="2" customWidth="1"/>
    <col min="8" max="9" width="11.44140625" customWidth="1"/>
    <col min="10" max="10" width="4.6640625" customWidth="1"/>
    <col min="11" max="11" width="7.21875" bestFit="1" customWidth="1"/>
    <col min="12" max="14" width="10.77734375" customWidth="1"/>
    <col min="15" max="15" width="4.21875" bestFit="1" customWidth="1"/>
    <col min="16" max="18" width="10.77734375" customWidth="1"/>
  </cols>
  <sheetData>
    <row r="1" spans="1:18" ht="13.8" thickBot="1" x14ac:dyDescent="0.3">
      <c r="K1" s="44" t="s">
        <v>0</v>
      </c>
      <c r="L1" s="45" t="s">
        <v>1</v>
      </c>
      <c r="M1" s="45" t="s">
        <v>2</v>
      </c>
      <c r="N1" s="47" t="s">
        <v>32</v>
      </c>
      <c r="O1" s="49" t="s">
        <v>14</v>
      </c>
      <c r="P1" s="47" t="s">
        <v>30</v>
      </c>
      <c r="Q1" s="47" t="s">
        <v>31</v>
      </c>
      <c r="R1" s="46" t="s">
        <v>32</v>
      </c>
    </row>
    <row r="2" spans="1:18" ht="13.8" thickBot="1" x14ac:dyDescent="0.3">
      <c r="B2" s="8" t="s">
        <v>3</v>
      </c>
      <c r="C2" s="21">
        <v>8.7499999999999994E-2</v>
      </c>
      <c r="D2"/>
      <c r="E2" s="9" t="s">
        <v>4</v>
      </c>
      <c r="F2" s="14">
        <f>MAX(A7:A106)</f>
        <v>7</v>
      </c>
      <c r="G2"/>
      <c r="H2" s="20" t="s">
        <v>5</v>
      </c>
      <c r="J2" s="15" t="str">
        <f t="shared" ref="J2:J14" si="0">IF(AND(N2&gt;0,N3&lt;0),"=&gt;",IF(AND(N1&gt;0,N2&lt;0),"=&gt;",""))</f>
        <v/>
      </c>
      <c r="K2" s="41"/>
      <c r="L2" s="39"/>
      <c r="M2" s="39"/>
      <c r="N2" s="40">
        <f>M2-L2</f>
        <v>0</v>
      </c>
      <c r="O2" s="50">
        <v>0</v>
      </c>
      <c r="P2" s="6">
        <f>SUMIF($A$7:$A$106,"="&amp;O2,$E$7:$E$106)</f>
        <v>0</v>
      </c>
      <c r="Q2" s="6">
        <f>SUMIF($A$7:$A$106,"="&amp;O2,$B$7:$B$106)</f>
        <v>3106.25</v>
      </c>
      <c r="R2" s="51">
        <f>P2-Q2</f>
        <v>-3106.25</v>
      </c>
    </row>
    <row r="3" spans="1:18" ht="13.8" thickBot="1" x14ac:dyDescent="0.3">
      <c r="A3" s="16" t="s">
        <v>6</v>
      </c>
      <c r="B3" s="17" t="s">
        <v>7</v>
      </c>
      <c r="C3" s="18"/>
      <c r="D3" s="17" t="s">
        <v>8</v>
      </c>
      <c r="E3" s="18"/>
      <c r="F3" s="19"/>
      <c r="G3" s="16" t="s">
        <v>9</v>
      </c>
      <c r="H3" s="1" t="s">
        <v>10</v>
      </c>
      <c r="I3" s="13">
        <f>IF(A7="","",F5-C5)</f>
        <v>1323.1967870776152</v>
      </c>
      <c r="J3" s="15" t="str">
        <f t="shared" si="0"/>
        <v/>
      </c>
      <c r="K3" s="41"/>
      <c r="L3" s="39"/>
      <c r="M3" s="39"/>
      <c r="N3" s="40">
        <f t="shared" ref="N3:N27" si="1">M3-L3</f>
        <v>0</v>
      </c>
      <c r="O3" s="50">
        <v>1</v>
      </c>
      <c r="P3" s="6">
        <f t="shared" ref="P3:P66" si="2">SUMIF($A$7:$A$106,"="&amp;O3,$E$7:$E$106)</f>
        <v>0</v>
      </c>
      <c r="Q3" s="6">
        <f t="shared" ref="Q3:Q66" si="3">SUMIF($A$7:$A$106,"="&amp;O3,$B$7:$B$106)</f>
        <v>1146.25</v>
      </c>
      <c r="R3" s="51">
        <f t="shared" ref="R3:R66" si="4">P3-Q3</f>
        <v>-1146.25</v>
      </c>
    </row>
    <row r="4" spans="1:18" ht="13.8" thickBot="1" x14ac:dyDescent="0.3">
      <c r="A4" s="5"/>
      <c r="B4" s="63" t="s">
        <v>11</v>
      </c>
      <c r="C4" s="64"/>
      <c r="D4" s="65"/>
      <c r="E4" s="63" t="s">
        <v>12</v>
      </c>
      <c r="F4" s="64"/>
      <c r="G4" s="65"/>
      <c r="J4" s="15" t="str">
        <f t="shared" si="0"/>
        <v/>
      </c>
      <c r="K4" s="41"/>
      <c r="L4" s="39"/>
      <c r="M4" s="39"/>
      <c r="N4" s="40">
        <f t="shared" si="1"/>
        <v>0</v>
      </c>
      <c r="O4" s="50">
        <v>2</v>
      </c>
      <c r="P4" s="6">
        <f t="shared" si="2"/>
        <v>0</v>
      </c>
      <c r="Q4" s="6">
        <f t="shared" si="3"/>
        <v>1146.25</v>
      </c>
      <c r="R4" s="51">
        <f t="shared" si="4"/>
        <v>-1146.25</v>
      </c>
    </row>
    <row r="5" spans="1:18" ht="16.2" thickBot="1" x14ac:dyDescent="0.35">
      <c r="A5" s="5"/>
      <c r="B5" s="36" t="s">
        <v>27</v>
      </c>
      <c r="C5" s="26">
        <f>SUM(C7:C106)</f>
        <v>7432.1972989528858</v>
      </c>
      <c r="D5" s="31">
        <f>SUM(D7:D106)</f>
        <v>13369.713151493219</v>
      </c>
      <c r="E5" s="36" t="s">
        <v>27</v>
      </c>
      <c r="F5" s="26">
        <f>SUM(F7:F106)</f>
        <v>8755.3940860305011</v>
      </c>
      <c r="G5" s="27">
        <f>SUM(G7:G106)</f>
        <v>15750</v>
      </c>
      <c r="H5" s="20" t="s">
        <v>13</v>
      </c>
      <c r="J5" s="15" t="str">
        <f t="shared" si="0"/>
        <v/>
      </c>
      <c r="K5" s="41"/>
      <c r="L5" s="39"/>
      <c r="M5" s="39"/>
      <c r="N5" s="40">
        <f t="shared" si="1"/>
        <v>0</v>
      </c>
      <c r="O5" s="50">
        <v>3</v>
      </c>
      <c r="P5" s="6">
        <f t="shared" si="2"/>
        <v>0</v>
      </c>
      <c r="Q5" s="6">
        <f t="shared" si="3"/>
        <v>706.25</v>
      </c>
      <c r="R5" s="51">
        <f t="shared" si="4"/>
        <v>-706.25</v>
      </c>
    </row>
    <row r="6" spans="1:18" ht="13.8" thickBot="1" x14ac:dyDescent="0.3">
      <c r="A6" s="3" t="s">
        <v>14</v>
      </c>
      <c r="B6" s="34" t="s">
        <v>15</v>
      </c>
      <c r="C6" s="7" t="s">
        <v>16</v>
      </c>
      <c r="D6" s="10" t="s">
        <v>17</v>
      </c>
      <c r="E6" s="35" t="s">
        <v>15</v>
      </c>
      <c r="F6" s="7" t="s">
        <v>16</v>
      </c>
      <c r="G6" s="11" t="s">
        <v>17</v>
      </c>
      <c r="H6" s="1" t="s">
        <v>18</v>
      </c>
      <c r="I6" s="13">
        <f>IF(A7="","",G5-D5)</f>
        <v>2380.2868485067811</v>
      </c>
      <c r="J6" s="15" t="str">
        <f t="shared" si="0"/>
        <v/>
      </c>
      <c r="K6" s="41"/>
      <c r="L6" s="39"/>
      <c r="M6" s="39"/>
      <c r="N6" s="40">
        <f t="shared" si="1"/>
        <v>0</v>
      </c>
      <c r="O6" s="50">
        <v>4</v>
      </c>
      <c r="P6" s="6">
        <f t="shared" si="2"/>
        <v>0</v>
      </c>
      <c r="Q6" s="6">
        <f t="shared" si="3"/>
        <v>646.25</v>
      </c>
      <c r="R6" s="51">
        <f t="shared" si="4"/>
        <v>-646.25</v>
      </c>
    </row>
    <row r="7" spans="1:18" x14ac:dyDescent="0.25">
      <c r="A7" s="28">
        <v>0</v>
      </c>
      <c r="B7" s="56">
        <v>3106.25</v>
      </c>
      <c r="C7" s="29">
        <f t="shared" ref="C7:C38" si="5">IF(A7="","",B7/(1+$C$2)^A7)</f>
        <v>3106.25</v>
      </c>
      <c r="D7" s="32">
        <f t="shared" ref="D7:D38" si="6">IF(A7="","",B7*(1+$C$2)^($F$2-A7))</f>
        <v>5587.8053025687141</v>
      </c>
      <c r="E7" s="56"/>
      <c r="F7" s="29">
        <f>IF(A7="","",E7/(1+$C$2)^(A7))</f>
        <v>0</v>
      </c>
      <c r="G7" s="22">
        <f t="shared" ref="G7:G38" si="7">IF(A7="","",E7*(1+$C$2)^($F$2-A7))</f>
        <v>0</v>
      </c>
      <c r="I7" s="4"/>
      <c r="J7" s="15" t="str">
        <f t="shared" si="0"/>
        <v/>
      </c>
      <c r="K7" s="41"/>
      <c r="L7" s="39"/>
      <c r="M7" s="39"/>
      <c r="N7" s="40">
        <f t="shared" si="1"/>
        <v>0</v>
      </c>
      <c r="O7" s="50">
        <v>5</v>
      </c>
      <c r="P7" s="6">
        <f t="shared" si="2"/>
        <v>0</v>
      </c>
      <c r="Q7" s="6">
        <f t="shared" si="3"/>
        <v>646.25</v>
      </c>
      <c r="R7" s="51">
        <f t="shared" si="4"/>
        <v>-646.25</v>
      </c>
    </row>
    <row r="8" spans="1:18" x14ac:dyDescent="0.25">
      <c r="A8" s="24">
        <v>1</v>
      </c>
      <c r="B8" s="57">
        <v>1146.25</v>
      </c>
      <c r="C8" s="29">
        <f t="shared" si="5"/>
        <v>1054.0229885057472</v>
      </c>
      <c r="D8" s="32">
        <f t="shared" si="6"/>
        <v>1896.0725132238993</v>
      </c>
      <c r="E8" s="57"/>
      <c r="F8" s="29">
        <f t="shared" ref="F8:F71" si="8">IF(A8="","",E8/(1+$C$2)^(A8))</f>
        <v>0</v>
      </c>
      <c r="G8" s="22">
        <f t="shared" si="7"/>
        <v>0</v>
      </c>
      <c r="H8" s="20" t="s">
        <v>19</v>
      </c>
      <c r="J8" s="15" t="str">
        <f t="shared" si="0"/>
        <v/>
      </c>
      <c r="K8" s="41"/>
      <c r="L8" s="39"/>
      <c r="M8" s="39"/>
      <c r="N8" s="40">
        <f t="shared" si="1"/>
        <v>0</v>
      </c>
      <c r="O8" s="50">
        <v>6</v>
      </c>
      <c r="P8" s="6">
        <f t="shared" si="2"/>
        <v>0</v>
      </c>
      <c r="Q8" s="6">
        <f t="shared" si="3"/>
        <v>646.25</v>
      </c>
      <c r="R8" s="51">
        <f t="shared" si="4"/>
        <v>-646.25</v>
      </c>
    </row>
    <row r="9" spans="1:18" x14ac:dyDescent="0.25">
      <c r="A9" s="24">
        <v>2</v>
      </c>
      <c r="B9" s="57">
        <v>1146.25</v>
      </c>
      <c r="C9" s="29">
        <f t="shared" si="5"/>
        <v>969.21654115471017</v>
      </c>
      <c r="D9" s="32">
        <f t="shared" si="6"/>
        <v>1743.5149546886435</v>
      </c>
      <c r="E9" s="57"/>
      <c r="F9" s="29">
        <f t="shared" si="8"/>
        <v>0</v>
      </c>
      <c r="G9" s="22">
        <f t="shared" si="7"/>
        <v>0</v>
      </c>
      <c r="H9" s="1" t="s">
        <v>20</v>
      </c>
      <c r="I9" s="13">
        <f>IF(A7="","",IF(C5=0,"",F5/C5))</f>
        <v>1.1780357455343711</v>
      </c>
      <c r="J9" s="15" t="str">
        <f t="shared" si="0"/>
        <v/>
      </c>
      <c r="K9" s="41"/>
      <c r="L9" s="39"/>
      <c r="M9" s="39"/>
      <c r="N9" s="40">
        <f t="shared" si="1"/>
        <v>0</v>
      </c>
      <c r="O9" s="50">
        <v>7</v>
      </c>
      <c r="P9" s="6">
        <f t="shared" si="2"/>
        <v>15750</v>
      </c>
      <c r="Q9" s="6">
        <f t="shared" si="3"/>
        <v>856.25</v>
      </c>
      <c r="R9" s="51">
        <f t="shared" si="4"/>
        <v>14893.75</v>
      </c>
    </row>
    <row r="10" spans="1:18" x14ac:dyDescent="0.25">
      <c r="A10" s="24">
        <v>3</v>
      </c>
      <c r="B10" s="57">
        <v>706.25</v>
      </c>
      <c r="C10" s="29">
        <f t="shared" si="5"/>
        <v>549.1243016356799</v>
      </c>
      <c r="D10" s="32">
        <f t="shared" si="6"/>
        <v>987.81478775024368</v>
      </c>
      <c r="E10" s="57"/>
      <c r="F10" s="29">
        <f t="shared" si="8"/>
        <v>0</v>
      </c>
      <c r="G10" s="22">
        <f t="shared" si="7"/>
        <v>0</v>
      </c>
      <c r="J10" s="15" t="str">
        <f t="shared" si="0"/>
        <v/>
      </c>
      <c r="K10" s="41"/>
      <c r="L10" s="39"/>
      <c r="M10" s="39"/>
      <c r="N10" s="40">
        <f t="shared" si="1"/>
        <v>0</v>
      </c>
      <c r="O10" s="50">
        <v>8</v>
      </c>
      <c r="P10" s="6">
        <f t="shared" si="2"/>
        <v>0</v>
      </c>
      <c r="Q10" s="6">
        <f t="shared" si="3"/>
        <v>0</v>
      </c>
      <c r="R10" s="51">
        <f t="shared" si="4"/>
        <v>0</v>
      </c>
    </row>
    <row r="11" spans="1:18" x14ac:dyDescent="0.25">
      <c r="A11" s="24">
        <v>4</v>
      </c>
      <c r="B11" s="57">
        <v>646.25</v>
      </c>
      <c r="C11" s="29">
        <f t="shared" si="5"/>
        <v>462.04416876516581</v>
      </c>
      <c r="D11" s="32">
        <f t="shared" si="6"/>
        <v>831.16711669921847</v>
      </c>
      <c r="E11" s="57"/>
      <c r="F11" s="29">
        <f t="shared" si="8"/>
        <v>0</v>
      </c>
      <c r="G11" s="22">
        <f t="shared" si="7"/>
        <v>0</v>
      </c>
      <c r="H11" s="20" t="s">
        <v>21</v>
      </c>
      <c r="J11" s="15" t="str">
        <f t="shared" si="0"/>
        <v/>
      </c>
      <c r="K11" s="41"/>
      <c r="L11" s="39"/>
      <c r="M11" s="39"/>
      <c r="N11" s="40">
        <f t="shared" si="1"/>
        <v>0</v>
      </c>
      <c r="O11" s="50">
        <v>9</v>
      </c>
      <c r="P11" s="6">
        <f t="shared" si="2"/>
        <v>0</v>
      </c>
      <c r="Q11" s="6">
        <f t="shared" si="3"/>
        <v>0</v>
      </c>
      <c r="R11" s="51">
        <f t="shared" si="4"/>
        <v>0</v>
      </c>
    </row>
    <row r="12" spans="1:18" x14ac:dyDescent="0.25">
      <c r="A12" s="24">
        <v>5</v>
      </c>
      <c r="B12" s="57">
        <v>646.25</v>
      </c>
      <c r="C12" s="29">
        <f t="shared" si="5"/>
        <v>424.86820116337088</v>
      </c>
      <c r="D12" s="32">
        <f t="shared" si="6"/>
        <v>764.29160156249986</v>
      </c>
      <c r="E12" s="57"/>
      <c r="F12" s="29">
        <f t="shared" si="8"/>
        <v>0</v>
      </c>
      <c r="G12" s="22">
        <f t="shared" si="7"/>
        <v>0</v>
      </c>
      <c r="H12" s="1" t="s">
        <v>22</v>
      </c>
      <c r="I12" s="13">
        <f>IF(A7="","",IF(C2=0,"",(G5-D5)/((1+C2)^F2-1)))</f>
        <v>2979.4887164193897</v>
      </c>
      <c r="J12" s="15" t="str">
        <f t="shared" si="0"/>
        <v/>
      </c>
      <c r="K12" s="41"/>
      <c r="L12" s="39"/>
      <c r="M12" s="39"/>
      <c r="N12" s="40">
        <f t="shared" si="1"/>
        <v>0</v>
      </c>
      <c r="O12" s="50">
        <v>10</v>
      </c>
      <c r="P12" s="6">
        <f t="shared" si="2"/>
        <v>0</v>
      </c>
      <c r="Q12" s="6">
        <f t="shared" si="3"/>
        <v>0</v>
      </c>
      <c r="R12" s="51">
        <f t="shared" si="4"/>
        <v>0</v>
      </c>
    </row>
    <row r="13" spans="1:18" x14ac:dyDescent="0.25">
      <c r="A13" s="24">
        <v>6</v>
      </c>
      <c r="B13" s="57">
        <v>646.25</v>
      </c>
      <c r="C13" s="29">
        <f t="shared" si="5"/>
        <v>390.68340336861695</v>
      </c>
      <c r="D13" s="32">
        <f t="shared" si="6"/>
        <v>702.79687499999989</v>
      </c>
      <c r="E13" s="57"/>
      <c r="F13" s="29">
        <f>IF(A13="","",E13/(1+$C$2)^(A13))</f>
        <v>0</v>
      </c>
      <c r="G13" s="22">
        <f>IF(A13="","",E13*(1+$C$2)^($F$2-A13))</f>
        <v>0</v>
      </c>
      <c r="J13" s="15" t="str">
        <f t="shared" si="0"/>
        <v/>
      </c>
      <c r="K13" s="41"/>
      <c r="L13" s="39"/>
      <c r="M13" s="39"/>
      <c r="N13" s="40">
        <f t="shared" si="1"/>
        <v>0</v>
      </c>
      <c r="O13" s="50">
        <v>11</v>
      </c>
      <c r="P13" s="6">
        <f t="shared" si="2"/>
        <v>0</v>
      </c>
      <c r="Q13" s="6">
        <f t="shared" si="3"/>
        <v>0</v>
      </c>
      <c r="R13" s="51">
        <f t="shared" si="4"/>
        <v>0</v>
      </c>
    </row>
    <row r="14" spans="1:18" x14ac:dyDescent="0.25">
      <c r="A14" s="24">
        <v>7</v>
      </c>
      <c r="B14" s="57">
        <v>856.25</v>
      </c>
      <c r="C14" s="29">
        <f t="shared" si="5"/>
        <v>475.98769435959474</v>
      </c>
      <c r="D14" s="32">
        <f t="shared" si="6"/>
        <v>856.25</v>
      </c>
      <c r="E14" s="57">
        <v>15750</v>
      </c>
      <c r="F14" s="29">
        <f>IF(A14="","",E14/(1+$C$2)^(A14))</f>
        <v>8755.3940860305011</v>
      </c>
      <c r="G14" s="22">
        <f>IF(A14="","",E14*(1+$C$2)^($F$2-A14))</f>
        <v>15750</v>
      </c>
      <c r="H14" s="20" t="s">
        <v>23</v>
      </c>
      <c r="J14" s="15" t="str">
        <f t="shared" si="0"/>
        <v/>
      </c>
      <c r="K14" s="41"/>
      <c r="L14" s="39"/>
      <c r="M14" s="39"/>
      <c r="N14" s="40">
        <f t="shared" si="1"/>
        <v>0</v>
      </c>
      <c r="O14" s="50">
        <v>12</v>
      </c>
      <c r="P14" s="6">
        <f t="shared" si="2"/>
        <v>0</v>
      </c>
      <c r="Q14" s="6">
        <f t="shared" si="3"/>
        <v>0</v>
      </c>
      <c r="R14" s="51">
        <f t="shared" si="4"/>
        <v>0</v>
      </c>
    </row>
    <row r="15" spans="1:18" x14ac:dyDescent="0.25">
      <c r="A15" s="24"/>
      <c r="B15" s="57"/>
      <c r="C15" s="29" t="str">
        <f t="shared" si="5"/>
        <v/>
      </c>
      <c r="D15" s="32" t="str">
        <f t="shared" si="6"/>
        <v/>
      </c>
      <c r="E15" s="57"/>
      <c r="F15" s="29" t="str">
        <f t="shared" si="8"/>
        <v/>
      </c>
      <c r="G15" s="22" t="str">
        <f t="shared" si="7"/>
        <v/>
      </c>
      <c r="H15" s="1" t="s">
        <v>24</v>
      </c>
      <c r="I15" s="13">
        <f>IF(F2=0,"",IF(C2=0,"",((G5-D5)*C2)/((1+C2)^F2-1)))</f>
        <v>260.70526268669659</v>
      </c>
      <c r="J15" s="15" t="str">
        <f>IF(AND(N15&gt;0,N16&lt;0),"=&gt;",IF(AND(N14&gt;0,N15&lt;0),"=&gt;",""))</f>
        <v/>
      </c>
      <c r="K15" s="41"/>
      <c r="L15" s="39"/>
      <c r="M15" s="39"/>
      <c r="N15" s="40">
        <f t="shared" si="1"/>
        <v>0</v>
      </c>
      <c r="O15" s="50">
        <v>13</v>
      </c>
      <c r="P15" s="6">
        <f t="shared" si="2"/>
        <v>0</v>
      </c>
      <c r="Q15" s="6">
        <f t="shared" si="3"/>
        <v>0</v>
      </c>
      <c r="R15" s="51">
        <f t="shared" si="4"/>
        <v>0</v>
      </c>
    </row>
    <row r="16" spans="1:18" x14ac:dyDescent="0.25">
      <c r="A16" s="24"/>
      <c r="B16" s="57"/>
      <c r="C16" s="29" t="str">
        <f t="shared" si="5"/>
        <v/>
      </c>
      <c r="D16" s="32" t="str">
        <f t="shared" si="6"/>
        <v/>
      </c>
      <c r="E16" s="57"/>
      <c r="F16" s="29" t="str">
        <f t="shared" si="8"/>
        <v/>
      </c>
      <c r="G16" s="22" t="str">
        <f t="shared" si="7"/>
        <v/>
      </c>
      <c r="J16" s="15" t="str">
        <f t="shared" ref="J16:J27" si="9">IF(AND(N16&gt;0,N17&lt;0),"=&gt;",IF(AND(N15&gt;0,N16&lt;0),"=&gt;",""))</f>
        <v/>
      </c>
      <c r="K16" s="41"/>
      <c r="L16" s="39"/>
      <c r="M16" s="39"/>
      <c r="N16" s="40">
        <f t="shared" si="1"/>
        <v>0</v>
      </c>
      <c r="O16" s="50">
        <v>14</v>
      </c>
      <c r="P16" s="6">
        <f t="shared" si="2"/>
        <v>0</v>
      </c>
      <c r="Q16" s="6">
        <f t="shared" si="3"/>
        <v>0</v>
      </c>
      <c r="R16" s="51">
        <f t="shared" si="4"/>
        <v>0</v>
      </c>
    </row>
    <row r="17" spans="1:18" x14ac:dyDescent="0.25">
      <c r="A17" s="24"/>
      <c r="B17" s="57"/>
      <c r="C17" s="29" t="str">
        <f t="shared" si="5"/>
        <v/>
      </c>
      <c r="D17" s="32" t="str">
        <f t="shared" si="6"/>
        <v/>
      </c>
      <c r="E17" s="57"/>
      <c r="F17" s="29" t="str">
        <f t="shared" si="8"/>
        <v/>
      </c>
      <c r="G17" s="22" t="str">
        <f t="shared" si="7"/>
        <v/>
      </c>
      <c r="H17" s="37" t="s">
        <v>28</v>
      </c>
      <c r="J17" s="15" t="str">
        <f t="shared" si="9"/>
        <v/>
      </c>
      <c r="K17" s="41"/>
      <c r="L17" s="39"/>
      <c r="M17" s="39"/>
      <c r="N17" s="40">
        <f t="shared" si="1"/>
        <v>0</v>
      </c>
      <c r="O17" s="50">
        <v>15</v>
      </c>
      <c r="P17" s="6">
        <f t="shared" si="2"/>
        <v>0</v>
      </c>
      <c r="Q17" s="6">
        <f t="shared" si="3"/>
        <v>0</v>
      </c>
      <c r="R17" s="51">
        <f t="shared" si="4"/>
        <v>0</v>
      </c>
    </row>
    <row r="18" spans="1:18" x14ac:dyDescent="0.25">
      <c r="A18" s="28"/>
      <c r="B18" s="57"/>
      <c r="C18" s="29" t="str">
        <f t="shared" si="5"/>
        <v/>
      </c>
      <c r="D18" s="32" t="str">
        <f t="shared" si="6"/>
        <v/>
      </c>
      <c r="E18" s="57"/>
      <c r="F18" s="29" t="str">
        <f t="shared" si="8"/>
        <v/>
      </c>
      <c r="G18" s="22" t="str">
        <f t="shared" si="7"/>
        <v/>
      </c>
      <c r="H18" s="38" t="s">
        <v>29</v>
      </c>
      <c r="I18" s="55">
        <f>IF(I9="","",IRR(R2:R101))</f>
        <v>0.12261077736097881</v>
      </c>
      <c r="J18" s="15" t="str">
        <f t="shared" si="9"/>
        <v/>
      </c>
      <c r="K18" s="41"/>
      <c r="L18" s="39"/>
      <c r="M18" s="39"/>
      <c r="N18" s="40">
        <f t="shared" si="1"/>
        <v>0</v>
      </c>
      <c r="O18" s="50">
        <v>16</v>
      </c>
      <c r="P18" s="6">
        <f t="shared" si="2"/>
        <v>0</v>
      </c>
      <c r="Q18" s="6">
        <f t="shared" si="3"/>
        <v>0</v>
      </c>
      <c r="R18" s="51">
        <f t="shared" si="4"/>
        <v>0</v>
      </c>
    </row>
    <row r="19" spans="1:18" x14ac:dyDescent="0.25">
      <c r="A19" s="24"/>
      <c r="B19" s="57"/>
      <c r="C19" s="29" t="str">
        <f t="shared" si="5"/>
        <v/>
      </c>
      <c r="D19" s="32" t="str">
        <f t="shared" si="6"/>
        <v/>
      </c>
      <c r="E19" s="57"/>
      <c r="F19" s="29" t="str">
        <f t="shared" si="8"/>
        <v/>
      </c>
      <c r="G19" s="22" t="str">
        <f t="shared" si="7"/>
        <v/>
      </c>
      <c r="J19" s="15" t="str">
        <f t="shared" si="9"/>
        <v/>
      </c>
      <c r="K19" s="41"/>
      <c r="L19" s="39"/>
      <c r="M19" s="39"/>
      <c r="N19" s="40">
        <f t="shared" si="1"/>
        <v>0</v>
      </c>
      <c r="O19" s="50">
        <v>17</v>
      </c>
      <c r="P19" s="6">
        <f t="shared" si="2"/>
        <v>0</v>
      </c>
      <c r="Q19" s="6">
        <f t="shared" si="3"/>
        <v>0</v>
      </c>
      <c r="R19" s="51">
        <f t="shared" si="4"/>
        <v>0</v>
      </c>
    </row>
    <row r="20" spans="1:18" x14ac:dyDescent="0.25">
      <c r="A20" s="24"/>
      <c r="B20" s="57"/>
      <c r="C20" s="29" t="str">
        <f t="shared" si="5"/>
        <v/>
      </c>
      <c r="D20" s="32" t="str">
        <f t="shared" si="6"/>
        <v/>
      </c>
      <c r="E20" s="57"/>
      <c r="F20" s="29" t="str">
        <f t="shared" si="8"/>
        <v/>
      </c>
      <c r="G20" s="22" t="str">
        <f t="shared" si="7"/>
        <v/>
      </c>
      <c r="J20" s="15" t="str">
        <f t="shared" si="9"/>
        <v/>
      </c>
      <c r="K20" s="41"/>
      <c r="L20" s="39"/>
      <c r="M20" s="39"/>
      <c r="N20" s="40">
        <f t="shared" si="1"/>
        <v>0</v>
      </c>
      <c r="O20" s="50">
        <v>18</v>
      </c>
      <c r="P20" s="6">
        <f t="shared" si="2"/>
        <v>0</v>
      </c>
      <c r="Q20" s="6">
        <f t="shared" si="3"/>
        <v>0</v>
      </c>
      <c r="R20" s="51">
        <f t="shared" si="4"/>
        <v>0</v>
      </c>
    </row>
    <row r="21" spans="1:18" x14ac:dyDescent="0.25">
      <c r="A21" s="24"/>
      <c r="B21" s="57"/>
      <c r="C21" s="29" t="str">
        <f t="shared" si="5"/>
        <v/>
      </c>
      <c r="D21" s="32" t="str">
        <f t="shared" si="6"/>
        <v/>
      </c>
      <c r="E21" s="57"/>
      <c r="F21" s="29" t="str">
        <f t="shared" si="8"/>
        <v/>
      </c>
      <c r="G21" s="22" t="str">
        <f t="shared" si="7"/>
        <v/>
      </c>
      <c r="J21" s="15" t="str">
        <f t="shared" si="9"/>
        <v/>
      </c>
      <c r="K21" s="41"/>
      <c r="L21" s="39"/>
      <c r="M21" s="39"/>
      <c r="N21" s="40">
        <f t="shared" si="1"/>
        <v>0</v>
      </c>
      <c r="O21" s="50">
        <v>19</v>
      </c>
      <c r="P21" s="6">
        <f t="shared" si="2"/>
        <v>0</v>
      </c>
      <c r="Q21" s="6">
        <f t="shared" si="3"/>
        <v>0</v>
      </c>
      <c r="R21" s="51">
        <f t="shared" si="4"/>
        <v>0</v>
      </c>
    </row>
    <row r="22" spans="1:18" x14ac:dyDescent="0.25">
      <c r="A22" s="24"/>
      <c r="B22" s="57"/>
      <c r="C22" s="29" t="str">
        <f t="shared" si="5"/>
        <v/>
      </c>
      <c r="D22" s="32" t="str">
        <f t="shared" si="6"/>
        <v/>
      </c>
      <c r="E22" s="57"/>
      <c r="F22" s="29" t="str">
        <f t="shared" si="8"/>
        <v/>
      </c>
      <c r="G22" s="22" t="str">
        <f t="shared" si="7"/>
        <v/>
      </c>
      <c r="J22" s="15" t="str">
        <f t="shared" si="9"/>
        <v/>
      </c>
      <c r="K22" s="41"/>
      <c r="L22" s="39"/>
      <c r="M22" s="39"/>
      <c r="N22" s="40">
        <f t="shared" si="1"/>
        <v>0</v>
      </c>
      <c r="O22" s="50">
        <v>20</v>
      </c>
      <c r="P22" s="6">
        <f t="shared" si="2"/>
        <v>0</v>
      </c>
      <c r="Q22" s="6">
        <f t="shared" si="3"/>
        <v>0</v>
      </c>
      <c r="R22" s="51">
        <f t="shared" si="4"/>
        <v>0</v>
      </c>
    </row>
    <row r="23" spans="1:18" x14ac:dyDescent="0.25">
      <c r="A23" s="24"/>
      <c r="B23" s="57"/>
      <c r="C23" s="29" t="str">
        <f t="shared" si="5"/>
        <v/>
      </c>
      <c r="D23" s="32" t="str">
        <f t="shared" si="6"/>
        <v/>
      </c>
      <c r="E23" s="57"/>
      <c r="F23" s="29" t="str">
        <f t="shared" si="8"/>
        <v/>
      </c>
      <c r="G23" s="22" t="str">
        <f t="shared" si="7"/>
        <v/>
      </c>
      <c r="J23" s="15" t="str">
        <f t="shared" si="9"/>
        <v/>
      </c>
      <c r="K23" s="41"/>
      <c r="L23" s="39"/>
      <c r="M23" s="39"/>
      <c r="N23" s="40">
        <f t="shared" si="1"/>
        <v>0</v>
      </c>
      <c r="O23" s="50">
        <v>21</v>
      </c>
      <c r="P23" s="6">
        <f t="shared" si="2"/>
        <v>0</v>
      </c>
      <c r="Q23" s="6">
        <f t="shared" si="3"/>
        <v>0</v>
      </c>
      <c r="R23" s="51">
        <f t="shared" si="4"/>
        <v>0</v>
      </c>
    </row>
    <row r="24" spans="1:18" x14ac:dyDescent="0.25">
      <c r="A24" s="24"/>
      <c r="B24" s="57"/>
      <c r="C24" s="29" t="str">
        <f t="shared" si="5"/>
        <v/>
      </c>
      <c r="D24" s="32" t="str">
        <f t="shared" si="6"/>
        <v/>
      </c>
      <c r="E24" s="57"/>
      <c r="F24" s="29" t="str">
        <f t="shared" si="8"/>
        <v/>
      </c>
      <c r="G24" s="22" t="str">
        <f t="shared" si="7"/>
        <v/>
      </c>
      <c r="H24" s="59"/>
      <c r="I24" s="59"/>
      <c r="J24" s="15" t="str">
        <f t="shared" si="9"/>
        <v/>
      </c>
      <c r="K24" s="41"/>
      <c r="L24" s="39"/>
      <c r="M24" s="39"/>
      <c r="N24" s="40">
        <f t="shared" si="1"/>
        <v>0</v>
      </c>
      <c r="O24" s="50">
        <v>22</v>
      </c>
      <c r="P24" s="6">
        <f t="shared" si="2"/>
        <v>0</v>
      </c>
      <c r="Q24" s="6">
        <f t="shared" si="3"/>
        <v>0</v>
      </c>
      <c r="R24" s="51">
        <f t="shared" si="4"/>
        <v>0</v>
      </c>
    </row>
    <row r="25" spans="1:18" x14ac:dyDescent="0.25">
      <c r="A25" s="24"/>
      <c r="B25" s="57"/>
      <c r="C25" s="29" t="str">
        <f t="shared" si="5"/>
        <v/>
      </c>
      <c r="D25" s="32" t="str">
        <f t="shared" si="6"/>
        <v/>
      </c>
      <c r="E25" s="57"/>
      <c r="F25" s="29" t="str">
        <f t="shared" si="8"/>
        <v/>
      </c>
      <c r="G25" s="22" t="str">
        <f t="shared" si="7"/>
        <v/>
      </c>
      <c r="H25" s="60" t="s">
        <v>33</v>
      </c>
      <c r="I25" s="61"/>
      <c r="J25" s="15" t="str">
        <f t="shared" si="9"/>
        <v/>
      </c>
      <c r="K25" s="41"/>
      <c r="L25" s="39"/>
      <c r="M25" s="39"/>
      <c r="N25" s="40">
        <f t="shared" si="1"/>
        <v>0</v>
      </c>
      <c r="O25" s="50">
        <v>23</v>
      </c>
      <c r="P25" s="6">
        <f t="shared" si="2"/>
        <v>0</v>
      </c>
      <c r="Q25" s="6">
        <f t="shared" si="3"/>
        <v>0</v>
      </c>
      <c r="R25" s="51">
        <f t="shared" si="4"/>
        <v>0</v>
      </c>
    </row>
    <row r="26" spans="1:18" x14ac:dyDescent="0.25">
      <c r="A26" s="24"/>
      <c r="B26" s="57"/>
      <c r="C26" s="29" t="str">
        <f t="shared" si="5"/>
        <v/>
      </c>
      <c r="D26" s="32" t="str">
        <f t="shared" si="6"/>
        <v/>
      </c>
      <c r="E26" s="57"/>
      <c r="F26" s="29" t="str">
        <f t="shared" si="8"/>
        <v/>
      </c>
      <c r="G26" s="22" t="str">
        <f t="shared" si="7"/>
        <v/>
      </c>
      <c r="H26" s="61" t="s">
        <v>25</v>
      </c>
      <c r="I26" s="62">
        <f>IF(I18="","",I18+12*(I18/25))</f>
        <v>0.18146395049424863</v>
      </c>
      <c r="J26" s="15" t="str">
        <f t="shared" si="9"/>
        <v/>
      </c>
      <c r="K26" s="41"/>
      <c r="L26" s="39"/>
      <c r="M26" s="39"/>
      <c r="N26" s="40">
        <f t="shared" si="1"/>
        <v>0</v>
      </c>
      <c r="O26" s="50">
        <v>24</v>
      </c>
      <c r="P26" s="6">
        <f t="shared" si="2"/>
        <v>0</v>
      </c>
      <c r="Q26" s="6">
        <f t="shared" si="3"/>
        <v>0</v>
      </c>
      <c r="R26" s="51">
        <f t="shared" si="4"/>
        <v>0</v>
      </c>
    </row>
    <row r="27" spans="1:18" x14ac:dyDescent="0.25">
      <c r="A27" s="24"/>
      <c r="B27" s="57"/>
      <c r="C27" s="29" t="str">
        <f t="shared" si="5"/>
        <v/>
      </c>
      <c r="D27" s="32" t="str">
        <f t="shared" si="6"/>
        <v/>
      </c>
      <c r="E27" s="57"/>
      <c r="F27" s="29" t="str">
        <f t="shared" si="8"/>
        <v/>
      </c>
      <c r="G27" s="22" t="str">
        <f t="shared" si="7"/>
        <v/>
      </c>
      <c r="H27" s="61" t="s">
        <v>26</v>
      </c>
      <c r="I27" s="62">
        <f>IF(I18="","",I18-12*(I18/25))</f>
        <v>6.3757604227708972E-2</v>
      </c>
      <c r="J27" s="15" t="str">
        <f t="shared" si="9"/>
        <v/>
      </c>
      <c r="K27" s="42"/>
      <c r="L27" s="43"/>
      <c r="M27" s="43"/>
      <c r="N27" s="48">
        <f t="shared" si="1"/>
        <v>0</v>
      </c>
      <c r="O27" s="50">
        <v>25</v>
      </c>
      <c r="P27" s="6">
        <f t="shared" si="2"/>
        <v>0</v>
      </c>
      <c r="Q27" s="6">
        <f t="shared" si="3"/>
        <v>0</v>
      </c>
      <c r="R27" s="51">
        <f t="shared" si="4"/>
        <v>0</v>
      </c>
    </row>
    <row r="28" spans="1:18" x14ac:dyDescent="0.25">
      <c r="A28" s="24"/>
      <c r="B28" s="57"/>
      <c r="C28" s="29" t="str">
        <f t="shared" si="5"/>
        <v/>
      </c>
      <c r="D28" s="32" t="str">
        <f t="shared" si="6"/>
        <v/>
      </c>
      <c r="E28" s="57"/>
      <c r="F28" s="29" t="str">
        <f t="shared" si="8"/>
        <v/>
      </c>
      <c r="G28" s="22" t="str">
        <f t="shared" si="7"/>
        <v/>
      </c>
      <c r="H28" s="59"/>
      <c r="I28" s="59"/>
      <c r="O28" s="50">
        <v>26</v>
      </c>
      <c r="P28" s="6">
        <f t="shared" si="2"/>
        <v>0</v>
      </c>
      <c r="Q28" s="6">
        <f t="shared" si="3"/>
        <v>0</v>
      </c>
      <c r="R28" s="51">
        <f t="shared" si="4"/>
        <v>0</v>
      </c>
    </row>
    <row r="29" spans="1:18" x14ac:dyDescent="0.25">
      <c r="A29" s="28"/>
      <c r="B29" s="57"/>
      <c r="C29" s="29" t="str">
        <f t="shared" si="5"/>
        <v/>
      </c>
      <c r="D29" s="32" t="str">
        <f t="shared" si="6"/>
        <v/>
      </c>
      <c r="E29" s="57"/>
      <c r="F29" s="29" t="str">
        <f t="shared" si="8"/>
        <v/>
      </c>
      <c r="G29" s="22" t="str">
        <f t="shared" si="7"/>
        <v/>
      </c>
      <c r="O29" s="50">
        <v>27</v>
      </c>
      <c r="P29" s="6">
        <f t="shared" si="2"/>
        <v>0</v>
      </c>
      <c r="Q29" s="6">
        <f t="shared" si="3"/>
        <v>0</v>
      </c>
      <c r="R29" s="51">
        <f t="shared" si="4"/>
        <v>0</v>
      </c>
    </row>
    <row r="30" spans="1:18" x14ac:dyDescent="0.25">
      <c r="A30" s="24"/>
      <c r="B30" s="57"/>
      <c r="C30" s="29" t="str">
        <f t="shared" si="5"/>
        <v/>
      </c>
      <c r="D30" s="32" t="str">
        <f t="shared" si="6"/>
        <v/>
      </c>
      <c r="E30" s="57"/>
      <c r="F30" s="29" t="str">
        <f t="shared" si="8"/>
        <v/>
      </c>
      <c r="G30" s="22" t="str">
        <f t="shared" si="7"/>
        <v/>
      </c>
      <c r="O30" s="50">
        <v>28</v>
      </c>
      <c r="P30" s="6">
        <f t="shared" si="2"/>
        <v>0</v>
      </c>
      <c r="Q30" s="6">
        <f t="shared" si="3"/>
        <v>0</v>
      </c>
      <c r="R30" s="51">
        <f t="shared" si="4"/>
        <v>0</v>
      </c>
    </row>
    <row r="31" spans="1:18" x14ac:dyDescent="0.25">
      <c r="A31" s="24"/>
      <c r="B31" s="57"/>
      <c r="C31" s="29" t="str">
        <f t="shared" si="5"/>
        <v/>
      </c>
      <c r="D31" s="32" t="str">
        <f t="shared" si="6"/>
        <v/>
      </c>
      <c r="E31" s="57"/>
      <c r="F31" s="29" t="str">
        <f t="shared" si="8"/>
        <v/>
      </c>
      <c r="G31" s="22" t="str">
        <f t="shared" si="7"/>
        <v/>
      </c>
      <c r="O31" s="50">
        <v>29</v>
      </c>
      <c r="P31" s="6">
        <f t="shared" si="2"/>
        <v>0</v>
      </c>
      <c r="Q31" s="6">
        <f t="shared" si="3"/>
        <v>0</v>
      </c>
      <c r="R31" s="51">
        <f t="shared" si="4"/>
        <v>0</v>
      </c>
    </row>
    <row r="32" spans="1:18" x14ac:dyDescent="0.25">
      <c r="A32" s="24"/>
      <c r="B32" s="57"/>
      <c r="C32" s="29" t="str">
        <f t="shared" si="5"/>
        <v/>
      </c>
      <c r="D32" s="32" t="str">
        <f t="shared" si="6"/>
        <v/>
      </c>
      <c r="E32" s="57"/>
      <c r="F32" s="29" t="str">
        <f t="shared" si="8"/>
        <v/>
      </c>
      <c r="G32" s="22" t="str">
        <f t="shared" si="7"/>
        <v/>
      </c>
      <c r="O32" s="50">
        <v>30</v>
      </c>
      <c r="P32" s="6">
        <f t="shared" si="2"/>
        <v>0</v>
      </c>
      <c r="Q32" s="6">
        <f t="shared" si="3"/>
        <v>0</v>
      </c>
      <c r="R32" s="51">
        <f t="shared" si="4"/>
        <v>0</v>
      </c>
    </row>
    <row r="33" spans="1:18" x14ac:dyDescent="0.25">
      <c r="A33" s="24"/>
      <c r="B33" s="57"/>
      <c r="C33" s="29" t="str">
        <f t="shared" si="5"/>
        <v/>
      </c>
      <c r="D33" s="32" t="str">
        <f t="shared" si="6"/>
        <v/>
      </c>
      <c r="E33" s="57"/>
      <c r="F33" s="29" t="str">
        <f t="shared" si="8"/>
        <v/>
      </c>
      <c r="G33" s="22" t="str">
        <f t="shared" si="7"/>
        <v/>
      </c>
      <c r="O33" s="50">
        <v>31</v>
      </c>
      <c r="P33" s="6">
        <f t="shared" si="2"/>
        <v>0</v>
      </c>
      <c r="Q33" s="6">
        <f t="shared" si="3"/>
        <v>0</v>
      </c>
      <c r="R33" s="51">
        <f t="shared" si="4"/>
        <v>0</v>
      </c>
    </row>
    <row r="34" spans="1:18" x14ac:dyDescent="0.25">
      <c r="A34" s="24"/>
      <c r="B34" s="57"/>
      <c r="C34" s="29" t="str">
        <f t="shared" si="5"/>
        <v/>
      </c>
      <c r="D34" s="32" t="str">
        <f t="shared" si="6"/>
        <v/>
      </c>
      <c r="E34" s="57"/>
      <c r="F34" s="29" t="str">
        <f t="shared" si="8"/>
        <v/>
      </c>
      <c r="G34" s="22" t="str">
        <f t="shared" si="7"/>
        <v/>
      </c>
      <c r="O34" s="50">
        <v>32</v>
      </c>
      <c r="P34" s="6">
        <f t="shared" si="2"/>
        <v>0</v>
      </c>
      <c r="Q34" s="6">
        <f t="shared" si="3"/>
        <v>0</v>
      </c>
      <c r="R34" s="51">
        <f t="shared" si="4"/>
        <v>0</v>
      </c>
    </row>
    <row r="35" spans="1:18" x14ac:dyDescent="0.25">
      <c r="A35" s="24"/>
      <c r="B35" s="57"/>
      <c r="C35" s="29" t="str">
        <f t="shared" si="5"/>
        <v/>
      </c>
      <c r="D35" s="32" t="str">
        <f t="shared" si="6"/>
        <v/>
      </c>
      <c r="E35" s="57"/>
      <c r="F35" s="29" t="str">
        <f t="shared" si="8"/>
        <v/>
      </c>
      <c r="G35" s="22" t="str">
        <f t="shared" si="7"/>
        <v/>
      </c>
      <c r="O35" s="50">
        <v>33</v>
      </c>
      <c r="P35" s="6">
        <f t="shared" si="2"/>
        <v>0</v>
      </c>
      <c r="Q35" s="6">
        <f t="shared" si="3"/>
        <v>0</v>
      </c>
      <c r="R35" s="51">
        <f t="shared" si="4"/>
        <v>0</v>
      </c>
    </row>
    <row r="36" spans="1:18" x14ac:dyDescent="0.25">
      <c r="A36" s="24"/>
      <c r="B36" s="57"/>
      <c r="C36" s="29" t="str">
        <f t="shared" si="5"/>
        <v/>
      </c>
      <c r="D36" s="32" t="str">
        <f t="shared" si="6"/>
        <v/>
      </c>
      <c r="E36" s="57"/>
      <c r="F36" s="29" t="str">
        <f t="shared" si="8"/>
        <v/>
      </c>
      <c r="G36" s="22" t="str">
        <f t="shared" si="7"/>
        <v/>
      </c>
      <c r="O36" s="50">
        <v>34</v>
      </c>
      <c r="P36" s="6">
        <f t="shared" si="2"/>
        <v>0</v>
      </c>
      <c r="Q36" s="6">
        <f t="shared" si="3"/>
        <v>0</v>
      </c>
      <c r="R36" s="51">
        <f t="shared" si="4"/>
        <v>0</v>
      </c>
    </row>
    <row r="37" spans="1:18" x14ac:dyDescent="0.25">
      <c r="A37" s="24"/>
      <c r="B37" s="57"/>
      <c r="C37" s="29" t="str">
        <f t="shared" si="5"/>
        <v/>
      </c>
      <c r="D37" s="32" t="str">
        <f t="shared" si="6"/>
        <v/>
      </c>
      <c r="E37" s="57"/>
      <c r="F37" s="29" t="str">
        <f t="shared" si="8"/>
        <v/>
      </c>
      <c r="G37" s="22" t="str">
        <f t="shared" si="7"/>
        <v/>
      </c>
      <c r="O37" s="50">
        <v>35</v>
      </c>
      <c r="P37" s="6">
        <f t="shared" si="2"/>
        <v>0</v>
      </c>
      <c r="Q37" s="6">
        <f t="shared" si="3"/>
        <v>0</v>
      </c>
      <c r="R37" s="51">
        <f t="shared" si="4"/>
        <v>0</v>
      </c>
    </row>
    <row r="38" spans="1:18" x14ac:dyDescent="0.25">
      <c r="A38" s="24"/>
      <c r="B38" s="57"/>
      <c r="C38" s="29" t="str">
        <f t="shared" si="5"/>
        <v/>
      </c>
      <c r="D38" s="32" t="str">
        <f t="shared" si="6"/>
        <v/>
      </c>
      <c r="E38" s="57"/>
      <c r="F38" s="29" t="str">
        <f t="shared" si="8"/>
        <v/>
      </c>
      <c r="G38" s="22" t="str">
        <f t="shared" si="7"/>
        <v/>
      </c>
      <c r="O38" s="50">
        <v>36</v>
      </c>
      <c r="P38" s="6">
        <f t="shared" si="2"/>
        <v>0</v>
      </c>
      <c r="Q38" s="6">
        <f t="shared" si="3"/>
        <v>0</v>
      </c>
      <c r="R38" s="51">
        <f t="shared" si="4"/>
        <v>0</v>
      </c>
    </row>
    <row r="39" spans="1:18" x14ac:dyDescent="0.25">
      <c r="A39" s="24"/>
      <c r="B39" s="57"/>
      <c r="C39" s="29" t="str">
        <f t="shared" ref="C39:C70" si="10">IF(A39="","",B39/(1+$C$2)^A39)</f>
        <v/>
      </c>
      <c r="D39" s="32" t="str">
        <f t="shared" ref="D39:D70" si="11">IF(A39="","",B39*(1+$C$2)^($F$2-A39))</f>
        <v/>
      </c>
      <c r="E39" s="57"/>
      <c r="F39" s="29" t="str">
        <f t="shared" si="8"/>
        <v/>
      </c>
      <c r="G39" s="22" t="str">
        <f t="shared" ref="G39:G70" si="12">IF(A39="","",E39*(1+$C$2)^($F$2-A39))</f>
        <v/>
      </c>
      <c r="O39" s="50">
        <v>37</v>
      </c>
      <c r="P39" s="6">
        <f t="shared" si="2"/>
        <v>0</v>
      </c>
      <c r="Q39" s="6">
        <f t="shared" si="3"/>
        <v>0</v>
      </c>
      <c r="R39" s="51">
        <f t="shared" si="4"/>
        <v>0</v>
      </c>
    </row>
    <row r="40" spans="1:18" x14ac:dyDescent="0.25">
      <c r="A40" s="24"/>
      <c r="B40" s="57"/>
      <c r="C40" s="29" t="str">
        <f t="shared" si="10"/>
        <v/>
      </c>
      <c r="D40" s="32" t="str">
        <f t="shared" si="11"/>
        <v/>
      </c>
      <c r="E40" s="57"/>
      <c r="F40" s="29" t="str">
        <f t="shared" si="8"/>
        <v/>
      </c>
      <c r="G40" s="22" t="str">
        <f t="shared" si="12"/>
        <v/>
      </c>
      <c r="O40" s="50">
        <v>38</v>
      </c>
      <c r="P40" s="6">
        <f t="shared" si="2"/>
        <v>0</v>
      </c>
      <c r="Q40" s="6">
        <f t="shared" si="3"/>
        <v>0</v>
      </c>
      <c r="R40" s="51">
        <f t="shared" si="4"/>
        <v>0</v>
      </c>
    </row>
    <row r="41" spans="1:18" x14ac:dyDescent="0.25">
      <c r="A41" s="24"/>
      <c r="B41" s="57"/>
      <c r="C41" s="29" t="str">
        <f t="shared" si="10"/>
        <v/>
      </c>
      <c r="D41" s="32" t="str">
        <f t="shared" si="11"/>
        <v/>
      </c>
      <c r="E41" s="57"/>
      <c r="F41" s="29" t="str">
        <f t="shared" si="8"/>
        <v/>
      </c>
      <c r="G41" s="22" t="str">
        <f t="shared" si="12"/>
        <v/>
      </c>
      <c r="O41" s="50">
        <v>39</v>
      </c>
      <c r="P41" s="6">
        <f t="shared" si="2"/>
        <v>0</v>
      </c>
      <c r="Q41" s="6">
        <f t="shared" si="3"/>
        <v>0</v>
      </c>
      <c r="R41" s="51">
        <f t="shared" si="4"/>
        <v>0</v>
      </c>
    </row>
    <row r="42" spans="1:18" x14ac:dyDescent="0.25">
      <c r="A42" s="24"/>
      <c r="B42" s="57"/>
      <c r="C42" s="29" t="str">
        <f t="shared" si="10"/>
        <v/>
      </c>
      <c r="D42" s="32" t="str">
        <f t="shared" si="11"/>
        <v/>
      </c>
      <c r="E42" s="57"/>
      <c r="F42" s="29" t="str">
        <f t="shared" si="8"/>
        <v/>
      </c>
      <c r="G42" s="22" t="str">
        <f t="shared" si="12"/>
        <v/>
      </c>
      <c r="O42" s="50">
        <v>40</v>
      </c>
      <c r="P42" s="6">
        <f t="shared" si="2"/>
        <v>0</v>
      </c>
      <c r="Q42" s="6">
        <f t="shared" si="3"/>
        <v>0</v>
      </c>
      <c r="R42" s="51">
        <f t="shared" si="4"/>
        <v>0</v>
      </c>
    </row>
    <row r="43" spans="1:18" x14ac:dyDescent="0.25">
      <c r="A43" s="24"/>
      <c r="B43" s="57"/>
      <c r="C43" s="29" t="str">
        <f t="shared" si="10"/>
        <v/>
      </c>
      <c r="D43" s="32" t="str">
        <f t="shared" si="11"/>
        <v/>
      </c>
      <c r="E43" s="57"/>
      <c r="F43" s="29" t="str">
        <f t="shared" si="8"/>
        <v/>
      </c>
      <c r="G43" s="22" t="str">
        <f t="shared" si="12"/>
        <v/>
      </c>
      <c r="O43" s="50">
        <v>41</v>
      </c>
      <c r="P43" s="6">
        <f t="shared" si="2"/>
        <v>0</v>
      </c>
      <c r="Q43" s="6">
        <f t="shared" si="3"/>
        <v>0</v>
      </c>
      <c r="R43" s="51">
        <f t="shared" si="4"/>
        <v>0</v>
      </c>
    </row>
    <row r="44" spans="1:18" x14ac:dyDescent="0.25">
      <c r="A44" s="24"/>
      <c r="B44" s="57"/>
      <c r="C44" s="29" t="str">
        <f t="shared" si="10"/>
        <v/>
      </c>
      <c r="D44" s="32" t="str">
        <f t="shared" si="11"/>
        <v/>
      </c>
      <c r="E44" s="57"/>
      <c r="F44" s="29" t="str">
        <f t="shared" si="8"/>
        <v/>
      </c>
      <c r="G44" s="22" t="str">
        <f t="shared" si="12"/>
        <v/>
      </c>
      <c r="O44" s="50">
        <v>42</v>
      </c>
      <c r="P44" s="6">
        <f t="shared" si="2"/>
        <v>0</v>
      </c>
      <c r="Q44" s="6">
        <f t="shared" si="3"/>
        <v>0</v>
      </c>
      <c r="R44" s="51">
        <f t="shared" si="4"/>
        <v>0</v>
      </c>
    </row>
    <row r="45" spans="1:18" x14ac:dyDescent="0.25">
      <c r="A45" s="24"/>
      <c r="B45" s="57"/>
      <c r="C45" s="29" t="str">
        <f t="shared" si="10"/>
        <v/>
      </c>
      <c r="D45" s="32" t="str">
        <f t="shared" si="11"/>
        <v/>
      </c>
      <c r="E45" s="57"/>
      <c r="F45" s="29" t="str">
        <f t="shared" si="8"/>
        <v/>
      </c>
      <c r="G45" s="22" t="str">
        <f t="shared" si="12"/>
        <v/>
      </c>
      <c r="O45" s="50">
        <v>43</v>
      </c>
      <c r="P45" s="6">
        <f t="shared" si="2"/>
        <v>0</v>
      </c>
      <c r="Q45" s="6">
        <f t="shared" si="3"/>
        <v>0</v>
      </c>
      <c r="R45" s="51">
        <f t="shared" si="4"/>
        <v>0</v>
      </c>
    </row>
    <row r="46" spans="1:18" x14ac:dyDescent="0.25">
      <c r="A46" s="24"/>
      <c r="B46" s="57"/>
      <c r="C46" s="29" t="str">
        <f t="shared" si="10"/>
        <v/>
      </c>
      <c r="D46" s="32" t="str">
        <f t="shared" si="11"/>
        <v/>
      </c>
      <c r="E46" s="57"/>
      <c r="F46" s="29" t="str">
        <f t="shared" si="8"/>
        <v/>
      </c>
      <c r="G46" s="22" t="str">
        <f t="shared" si="12"/>
        <v/>
      </c>
      <c r="O46" s="50">
        <v>44</v>
      </c>
      <c r="P46" s="6">
        <f t="shared" si="2"/>
        <v>0</v>
      </c>
      <c r="Q46" s="6">
        <f t="shared" si="3"/>
        <v>0</v>
      </c>
      <c r="R46" s="51">
        <f t="shared" si="4"/>
        <v>0</v>
      </c>
    </row>
    <row r="47" spans="1:18" x14ac:dyDescent="0.25">
      <c r="A47" s="24"/>
      <c r="B47" s="57"/>
      <c r="C47" s="29" t="str">
        <f t="shared" si="10"/>
        <v/>
      </c>
      <c r="D47" s="32" t="str">
        <f t="shared" si="11"/>
        <v/>
      </c>
      <c r="E47" s="57"/>
      <c r="F47" s="29" t="str">
        <f t="shared" si="8"/>
        <v/>
      </c>
      <c r="G47" s="22" t="str">
        <f t="shared" si="12"/>
        <v/>
      </c>
      <c r="O47" s="50">
        <v>45</v>
      </c>
      <c r="P47" s="6">
        <f t="shared" si="2"/>
        <v>0</v>
      </c>
      <c r="Q47" s="6">
        <f t="shared" si="3"/>
        <v>0</v>
      </c>
      <c r="R47" s="51">
        <f t="shared" si="4"/>
        <v>0</v>
      </c>
    </row>
    <row r="48" spans="1:18" x14ac:dyDescent="0.25">
      <c r="A48" s="24"/>
      <c r="B48" s="57"/>
      <c r="C48" s="29" t="str">
        <f t="shared" si="10"/>
        <v/>
      </c>
      <c r="D48" s="32" t="str">
        <f t="shared" si="11"/>
        <v/>
      </c>
      <c r="E48" s="57"/>
      <c r="F48" s="29" t="str">
        <f t="shared" si="8"/>
        <v/>
      </c>
      <c r="G48" s="22" t="str">
        <f t="shared" si="12"/>
        <v/>
      </c>
      <c r="O48" s="50">
        <v>46</v>
      </c>
      <c r="P48" s="6">
        <f t="shared" si="2"/>
        <v>0</v>
      </c>
      <c r="Q48" s="6">
        <f t="shared" si="3"/>
        <v>0</v>
      </c>
      <c r="R48" s="51">
        <f t="shared" si="4"/>
        <v>0</v>
      </c>
    </row>
    <row r="49" spans="1:18" x14ac:dyDescent="0.25">
      <c r="A49" s="24"/>
      <c r="B49" s="57"/>
      <c r="C49" s="29" t="str">
        <f t="shared" si="10"/>
        <v/>
      </c>
      <c r="D49" s="32" t="str">
        <f t="shared" si="11"/>
        <v/>
      </c>
      <c r="E49" s="57"/>
      <c r="F49" s="29" t="str">
        <f t="shared" si="8"/>
        <v/>
      </c>
      <c r="G49" s="22" t="str">
        <f t="shared" si="12"/>
        <v/>
      </c>
      <c r="O49" s="50">
        <v>47</v>
      </c>
      <c r="P49" s="6">
        <f t="shared" si="2"/>
        <v>0</v>
      </c>
      <c r="Q49" s="6">
        <f t="shared" si="3"/>
        <v>0</v>
      </c>
      <c r="R49" s="51">
        <f t="shared" si="4"/>
        <v>0</v>
      </c>
    </row>
    <row r="50" spans="1:18" x14ac:dyDescent="0.25">
      <c r="A50" s="24"/>
      <c r="B50" s="57"/>
      <c r="C50" s="29" t="str">
        <f t="shared" si="10"/>
        <v/>
      </c>
      <c r="D50" s="32" t="str">
        <f t="shared" si="11"/>
        <v/>
      </c>
      <c r="E50" s="57"/>
      <c r="F50" s="29" t="str">
        <f t="shared" si="8"/>
        <v/>
      </c>
      <c r="G50" s="22" t="str">
        <f t="shared" si="12"/>
        <v/>
      </c>
      <c r="O50" s="50">
        <v>48</v>
      </c>
      <c r="P50" s="6">
        <f t="shared" si="2"/>
        <v>0</v>
      </c>
      <c r="Q50" s="6">
        <f t="shared" si="3"/>
        <v>0</v>
      </c>
      <c r="R50" s="51">
        <f t="shared" si="4"/>
        <v>0</v>
      </c>
    </row>
    <row r="51" spans="1:18" x14ac:dyDescent="0.25">
      <c r="A51" s="24"/>
      <c r="B51" s="57"/>
      <c r="C51" s="29" t="str">
        <f t="shared" si="10"/>
        <v/>
      </c>
      <c r="D51" s="32" t="str">
        <f t="shared" si="11"/>
        <v/>
      </c>
      <c r="E51" s="57"/>
      <c r="F51" s="29" t="str">
        <f t="shared" si="8"/>
        <v/>
      </c>
      <c r="G51" s="22" t="str">
        <f t="shared" si="12"/>
        <v/>
      </c>
      <c r="O51" s="50">
        <v>49</v>
      </c>
      <c r="P51" s="6">
        <f t="shared" si="2"/>
        <v>0</v>
      </c>
      <c r="Q51" s="6">
        <f t="shared" si="3"/>
        <v>0</v>
      </c>
      <c r="R51" s="51">
        <f t="shared" si="4"/>
        <v>0</v>
      </c>
    </row>
    <row r="52" spans="1:18" x14ac:dyDescent="0.25">
      <c r="A52" s="24"/>
      <c r="B52" s="57"/>
      <c r="C52" s="29" t="str">
        <f t="shared" si="10"/>
        <v/>
      </c>
      <c r="D52" s="32" t="str">
        <f t="shared" si="11"/>
        <v/>
      </c>
      <c r="E52" s="57"/>
      <c r="F52" s="29" t="str">
        <f t="shared" si="8"/>
        <v/>
      </c>
      <c r="G52" s="22" t="str">
        <f t="shared" si="12"/>
        <v/>
      </c>
      <c r="O52" s="50">
        <v>50</v>
      </c>
      <c r="P52" s="6">
        <f t="shared" si="2"/>
        <v>0</v>
      </c>
      <c r="Q52" s="6">
        <f t="shared" si="3"/>
        <v>0</v>
      </c>
      <c r="R52" s="51">
        <f t="shared" si="4"/>
        <v>0</v>
      </c>
    </row>
    <row r="53" spans="1:18" x14ac:dyDescent="0.25">
      <c r="A53" s="24"/>
      <c r="B53" s="57"/>
      <c r="C53" s="29" t="str">
        <f t="shared" si="10"/>
        <v/>
      </c>
      <c r="D53" s="32" t="str">
        <f t="shared" si="11"/>
        <v/>
      </c>
      <c r="E53" s="57"/>
      <c r="F53" s="29" t="str">
        <f t="shared" si="8"/>
        <v/>
      </c>
      <c r="G53" s="22" t="str">
        <f t="shared" si="12"/>
        <v/>
      </c>
      <c r="O53" s="50">
        <v>51</v>
      </c>
      <c r="P53" s="6">
        <f t="shared" si="2"/>
        <v>0</v>
      </c>
      <c r="Q53" s="6">
        <f t="shared" si="3"/>
        <v>0</v>
      </c>
      <c r="R53" s="51">
        <f t="shared" si="4"/>
        <v>0</v>
      </c>
    </row>
    <row r="54" spans="1:18" x14ac:dyDescent="0.25">
      <c r="A54" s="24"/>
      <c r="B54" s="57"/>
      <c r="C54" s="29" t="str">
        <f t="shared" si="10"/>
        <v/>
      </c>
      <c r="D54" s="32" t="str">
        <f t="shared" si="11"/>
        <v/>
      </c>
      <c r="E54" s="57"/>
      <c r="F54" s="29" t="str">
        <f t="shared" si="8"/>
        <v/>
      </c>
      <c r="G54" s="22" t="str">
        <f t="shared" si="12"/>
        <v/>
      </c>
      <c r="O54" s="50">
        <v>52</v>
      </c>
      <c r="P54" s="6">
        <f t="shared" si="2"/>
        <v>0</v>
      </c>
      <c r="Q54" s="6">
        <f t="shared" si="3"/>
        <v>0</v>
      </c>
      <c r="R54" s="51">
        <f t="shared" si="4"/>
        <v>0</v>
      </c>
    </row>
    <row r="55" spans="1:18" x14ac:dyDescent="0.25">
      <c r="A55" s="24"/>
      <c r="B55" s="57"/>
      <c r="C55" s="29" t="str">
        <f t="shared" si="10"/>
        <v/>
      </c>
      <c r="D55" s="32" t="str">
        <f t="shared" si="11"/>
        <v/>
      </c>
      <c r="E55" s="57"/>
      <c r="F55" s="29" t="str">
        <f t="shared" si="8"/>
        <v/>
      </c>
      <c r="G55" s="22" t="str">
        <f t="shared" si="12"/>
        <v/>
      </c>
      <c r="O55" s="50">
        <v>53</v>
      </c>
      <c r="P55" s="6">
        <f t="shared" si="2"/>
        <v>0</v>
      </c>
      <c r="Q55" s="6">
        <f t="shared" si="3"/>
        <v>0</v>
      </c>
      <c r="R55" s="51">
        <f t="shared" si="4"/>
        <v>0</v>
      </c>
    </row>
    <row r="56" spans="1:18" x14ac:dyDescent="0.25">
      <c r="A56" s="24"/>
      <c r="B56" s="57"/>
      <c r="C56" s="29" t="str">
        <f t="shared" si="10"/>
        <v/>
      </c>
      <c r="D56" s="32" t="str">
        <f t="shared" si="11"/>
        <v/>
      </c>
      <c r="E56" s="57"/>
      <c r="F56" s="29" t="str">
        <f t="shared" si="8"/>
        <v/>
      </c>
      <c r="G56" s="22" t="str">
        <f t="shared" si="12"/>
        <v/>
      </c>
      <c r="O56" s="50">
        <v>54</v>
      </c>
      <c r="P56" s="6">
        <f t="shared" si="2"/>
        <v>0</v>
      </c>
      <c r="Q56" s="6">
        <f t="shared" si="3"/>
        <v>0</v>
      </c>
      <c r="R56" s="51">
        <f t="shared" si="4"/>
        <v>0</v>
      </c>
    </row>
    <row r="57" spans="1:18" x14ac:dyDescent="0.25">
      <c r="A57" s="24"/>
      <c r="B57" s="57"/>
      <c r="C57" s="29" t="str">
        <f t="shared" si="10"/>
        <v/>
      </c>
      <c r="D57" s="32" t="str">
        <f t="shared" si="11"/>
        <v/>
      </c>
      <c r="E57" s="57"/>
      <c r="F57" s="29" t="str">
        <f t="shared" si="8"/>
        <v/>
      </c>
      <c r="G57" s="22" t="str">
        <f t="shared" si="12"/>
        <v/>
      </c>
      <c r="O57" s="50">
        <v>55</v>
      </c>
      <c r="P57" s="6">
        <f t="shared" si="2"/>
        <v>0</v>
      </c>
      <c r="Q57" s="6">
        <f t="shared" si="3"/>
        <v>0</v>
      </c>
      <c r="R57" s="51">
        <f t="shared" si="4"/>
        <v>0</v>
      </c>
    </row>
    <row r="58" spans="1:18" x14ac:dyDescent="0.25">
      <c r="A58" s="24"/>
      <c r="B58" s="57"/>
      <c r="C58" s="29" t="str">
        <f t="shared" si="10"/>
        <v/>
      </c>
      <c r="D58" s="32" t="str">
        <f t="shared" si="11"/>
        <v/>
      </c>
      <c r="E58" s="57"/>
      <c r="F58" s="29" t="str">
        <f t="shared" si="8"/>
        <v/>
      </c>
      <c r="G58" s="22" t="str">
        <f t="shared" si="12"/>
        <v/>
      </c>
      <c r="O58" s="50">
        <v>56</v>
      </c>
      <c r="P58" s="6">
        <f t="shared" si="2"/>
        <v>0</v>
      </c>
      <c r="Q58" s="6">
        <f t="shared" si="3"/>
        <v>0</v>
      </c>
      <c r="R58" s="51">
        <f t="shared" si="4"/>
        <v>0</v>
      </c>
    </row>
    <row r="59" spans="1:18" x14ac:dyDescent="0.25">
      <c r="A59" s="24"/>
      <c r="B59" s="57"/>
      <c r="C59" s="29" t="str">
        <f t="shared" si="10"/>
        <v/>
      </c>
      <c r="D59" s="32" t="str">
        <f t="shared" si="11"/>
        <v/>
      </c>
      <c r="E59" s="57"/>
      <c r="F59" s="29" t="str">
        <f t="shared" si="8"/>
        <v/>
      </c>
      <c r="G59" s="22" t="str">
        <f t="shared" si="12"/>
        <v/>
      </c>
      <c r="O59" s="50">
        <v>57</v>
      </c>
      <c r="P59" s="6">
        <f t="shared" si="2"/>
        <v>0</v>
      </c>
      <c r="Q59" s="6">
        <f t="shared" si="3"/>
        <v>0</v>
      </c>
      <c r="R59" s="51">
        <f t="shared" si="4"/>
        <v>0</v>
      </c>
    </row>
    <row r="60" spans="1:18" x14ac:dyDescent="0.25">
      <c r="A60" s="24"/>
      <c r="B60" s="57"/>
      <c r="C60" s="29" t="str">
        <f t="shared" si="10"/>
        <v/>
      </c>
      <c r="D60" s="32" t="str">
        <f t="shared" si="11"/>
        <v/>
      </c>
      <c r="E60" s="57"/>
      <c r="F60" s="29" t="str">
        <f t="shared" si="8"/>
        <v/>
      </c>
      <c r="G60" s="22" t="str">
        <f t="shared" si="12"/>
        <v/>
      </c>
      <c r="O60" s="50">
        <v>58</v>
      </c>
      <c r="P60" s="6">
        <f t="shared" si="2"/>
        <v>0</v>
      </c>
      <c r="Q60" s="6">
        <f t="shared" si="3"/>
        <v>0</v>
      </c>
      <c r="R60" s="51">
        <f t="shared" si="4"/>
        <v>0</v>
      </c>
    </row>
    <row r="61" spans="1:18" x14ac:dyDescent="0.25">
      <c r="A61" s="24"/>
      <c r="B61" s="57"/>
      <c r="C61" s="29" t="str">
        <f t="shared" si="10"/>
        <v/>
      </c>
      <c r="D61" s="32" t="str">
        <f t="shared" si="11"/>
        <v/>
      </c>
      <c r="E61" s="57"/>
      <c r="F61" s="29" t="str">
        <f t="shared" si="8"/>
        <v/>
      </c>
      <c r="G61" s="22" t="str">
        <f t="shared" si="12"/>
        <v/>
      </c>
      <c r="O61" s="50">
        <v>59</v>
      </c>
      <c r="P61" s="6">
        <f t="shared" si="2"/>
        <v>0</v>
      </c>
      <c r="Q61" s="6">
        <f t="shared" si="3"/>
        <v>0</v>
      </c>
      <c r="R61" s="51">
        <f t="shared" si="4"/>
        <v>0</v>
      </c>
    </row>
    <row r="62" spans="1:18" x14ac:dyDescent="0.25">
      <c r="A62" s="24"/>
      <c r="B62" s="57"/>
      <c r="C62" s="29" t="str">
        <f t="shared" si="10"/>
        <v/>
      </c>
      <c r="D62" s="32" t="str">
        <f t="shared" si="11"/>
        <v/>
      </c>
      <c r="E62" s="57"/>
      <c r="F62" s="29" t="str">
        <f t="shared" si="8"/>
        <v/>
      </c>
      <c r="G62" s="22" t="str">
        <f t="shared" si="12"/>
        <v/>
      </c>
      <c r="O62" s="50">
        <v>60</v>
      </c>
      <c r="P62" s="6">
        <f t="shared" si="2"/>
        <v>0</v>
      </c>
      <c r="Q62" s="6">
        <f t="shared" si="3"/>
        <v>0</v>
      </c>
      <c r="R62" s="51">
        <f t="shared" si="4"/>
        <v>0</v>
      </c>
    </row>
    <row r="63" spans="1:18" x14ac:dyDescent="0.25">
      <c r="A63" s="24"/>
      <c r="B63" s="57"/>
      <c r="C63" s="29" t="str">
        <f t="shared" si="10"/>
        <v/>
      </c>
      <c r="D63" s="32" t="str">
        <f t="shared" si="11"/>
        <v/>
      </c>
      <c r="E63" s="57"/>
      <c r="F63" s="29" t="str">
        <f t="shared" si="8"/>
        <v/>
      </c>
      <c r="G63" s="22" t="str">
        <f t="shared" si="12"/>
        <v/>
      </c>
      <c r="O63" s="50">
        <v>61</v>
      </c>
      <c r="P63" s="6">
        <f t="shared" si="2"/>
        <v>0</v>
      </c>
      <c r="Q63" s="6">
        <f t="shared" si="3"/>
        <v>0</v>
      </c>
      <c r="R63" s="51">
        <f t="shared" si="4"/>
        <v>0</v>
      </c>
    </row>
    <row r="64" spans="1:18" x14ac:dyDescent="0.25">
      <c r="A64" s="24"/>
      <c r="B64" s="57"/>
      <c r="C64" s="29" t="str">
        <f t="shared" si="10"/>
        <v/>
      </c>
      <c r="D64" s="32" t="str">
        <f t="shared" si="11"/>
        <v/>
      </c>
      <c r="E64" s="57"/>
      <c r="F64" s="29" t="str">
        <f t="shared" si="8"/>
        <v/>
      </c>
      <c r="G64" s="22" t="str">
        <f t="shared" si="12"/>
        <v/>
      </c>
      <c r="O64" s="50">
        <v>62</v>
      </c>
      <c r="P64" s="6">
        <f t="shared" si="2"/>
        <v>0</v>
      </c>
      <c r="Q64" s="6">
        <f t="shared" si="3"/>
        <v>0</v>
      </c>
      <c r="R64" s="51">
        <f t="shared" si="4"/>
        <v>0</v>
      </c>
    </row>
    <row r="65" spans="1:18" x14ac:dyDescent="0.25">
      <c r="A65" s="24"/>
      <c r="B65" s="57"/>
      <c r="C65" s="29" t="str">
        <f t="shared" si="10"/>
        <v/>
      </c>
      <c r="D65" s="32" t="str">
        <f t="shared" si="11"/>
        <v/>
      </c>
      <c r="E65" s="57"/>
      <c r="F65" s="29" t="str">
        <f t="shared" si="8"/>
        <v/>
      </c>
      <c r="G65" s="22" t="str">
        <f t="shared" si="12"/>
        <v/>
      </c>
      <c r="O65" s="50">
        <v>63</v>
      </c>
      <c r="P65" s="6">
        <f t="shared" si="2"/>
        <v>0</v>
      </c>
      <c r="Q65" s="6">
        <f t="shared" si="3"/>
        <v>0</v>
      </c>
      <c r="R65" s="51">
        <f t="shared" si="4"/>
        <v>0</v>
      </c>
    </row>
    <row r="66" spans="1:18" x14ac:dyDescent="0.25">
      <c r="A66" s="24"/>
      <c r="B66" s="57"/>
      <c r="C66" s="29" t="str">
        <f t="shared" si="10"/>
        <v/>
      </c>
      <c r="D66" s="32" t="str">
        <f t="shared" si="11"/>
        <v/>
      </c>
      <c r="E66" s="57"/>
      <c r="F66" s="29" t="str">
        <f t="shared" si="8"/>
        <v/>
      </c>
      <c r="G66" s="22" t="str">
        <f t="shared" si="12"/>
        <v/>
      </c>
      <c r="O66" s="50">
        <v>64</v>
      </c>
      <c r="P66" s="6">
        <f t="shared" si="2"/>
        <v>0</v>
      </c>
      <c r="Q66" s="6">
        <f t="shared" si="3"/>
        <v>0</v>
      </c>
      <c r="R66" s="51">
        <f t="shared" si="4"/>
        <v>0</v>
      </c>
    </row>
    <row r="67" spans="1:18" x14ac:dyDescent="0.25">
      <c r="A67" s="24"/>
      <c r="B67" s="57"/>
      <c r="C67" s="29" t="str">
        <f t="shared" si="10"/>
        <v/>
      </c>
      <c r="D67" s="32" t="str">
        <f t="shared" si="11"/>
        <v/>
      </c>
      <c r="E67" s="57"/>
      <c r="F67" s="29" t="str">
        <f t="shared" si="8"/>
        <v/>
      </c>
      <c r="G67" s="22" t="str">
        <f t="shared" si="12"/>
        <v/>
      </c>
      <c r="O67" s="50">
        <v>65</v>
      </c>
      <c r="P67" s="6">
        <f t="shared" ref="P67:P101" si="13">SUMIF($A$7:$A$106,"="&amp;O67,$E$7:$E$106)</f>
        <v>0</v>
      </c>
      <c r="Q67" s="6">
        <f t="shared" ref="Q67:Q101" si="14">SUMIF($A$7:$A$106,"="&amp;O67,$B$7:$B$106)</f>
        <v>0</v>
      </c>
      <c r="R67" s="51">
        <f t="shared" ref="R67:R101" si="15">P67-Q67</f>
        <v>0</v>
      </c>
    </row>
    <row r="68" spans="1:18" x14ac:dyDescent="0.25">
      <c r="A68" s="24"/>
      <c r="B68" s="57"/>
      <c r="C68" s="29" t="str">
        <f t="shared" si="10"/>
        <v/>
      </c>
      <c r="D68" s="32" t="str">
        <f t="shared" si="11"/>
        <v/>
      </c>
      <c r="E68" s="57"/>
      <c r="F68" s="29" t="str">
        <f t="shared" si="8"/>
        <v/>
      </c>
      <c r="G68" s="22" t="str">
        <f t="shared" si="12"/>
        <v/>
      </c>
      <c r="O68" s="50">
        <v>66</v>
      </c>
      <c r="P68" s="6">
        <f t="shared" si="13"/>
        <v>0</v>
      </c>
      <c r="Q68" s="6">
        <f t="shared" si="14"/>
        <v>0</v>
      </c>
      <c r="R68" s="51">
        <f t="shared" si="15"/>
        <v>0</v>
      </c>
    </row>
    <row r="69" spans="1:18" x14ac:dyDescent="0.25">
      <c r="A69" s="24"/>
      <c r="B69" s="57"/>
      <c r="C69" s="29" t="str">
        <f t="shared" si="10"/>
        <v/>
      </c>
      <c r="D69" s="32" t="str">
        <f t="shared" si="11"/>
        <v/>
      </c>
      <c r="E69" s="57"/>
      <c r="F69" s="29" t="str">
        <f t="shared" si="8"/>
        <v/>
      </c>
      <c r="G69" s="22" t="str">
        <f t="shared" si="12"/>
        <v/>
      </c>
      <c r="O69" s="50">
        <v>67</v>
      </c>
      <c r="P69" s="6">
        <f t="shared" si="13"/>
        <v>0</v>
      </c>
      <c r="Q69" s="6">
        <f t="shared" si="14"/>
        <v>0</v>
      </c>
      <c r="R69" s="51">
        <f t="shared" si="15"/>
        <v>0</v>
      </c>
    </row>
    <row r="70" spans="1:18" x14ac:dyDescent="0.25">
      <c r="A70" s="24"/>
      <c r="B70" s="57"/>
      <c r="C70" s="29" t="str">
        <f t="shared" si="10"/>
        <v/>
      </c>
      <c r="D70" s="32" t="str">
        <f t="shared" si="11"/>
        <v/>
      </c>
      <c r="E70" s="57"/>
      <c r="F70" s="29" t="str">
        <f t="shared" si="8"/>
        <v/>
      </c>
      <c r="G70" s="22" t="str">
        <f t="shared" si="12"/>
        <v/>
      </c>
      <c r="O70" s="50">
        <v>68</v>
      </c>
      <c r="P70" s="6">
        <f t="shared" si="13"/>
        <v>0</v>
      </c>
      <c r="Q70" s="6">
        <f t="shared" si="14"/>
        <v>0</v>
      </c>
      <c r="R70" s="51">
        <f t="shared" si="15"/>
        <v>0</v>
      </c>
    </row>
    <row r="71" spans="1:18" x14ac:dyDescent="0.25">
      <c r="A71" s="24"/>
      <c r="B71" s="57"/>
      <c r="C71" s="29" t="str">
        <f t="shared" ref="C71:C106" si="16">IF(A71="","",B71/(1+$C$2)^A71)</f>
        <v/>
      </c>
      <c r="D71" s="32" t="str">
        <f t="shared" ref="D71:D106" si="17">IF(A71="","",B71*(1+$C$2)^($F$2-A71))</f>
        <v/>
      </c>
      <c r="E71" s="57"/>
      <c r="F71" s="29" t="str">
        <f t="shared" si="8"/>
        <v/>
      </c>
      <c r="G71" s="22" t="str">
        <f t="shared" ref="G71:G106" si="18">IF(A71="","",E71*(1+$C$2)^($F$2-A71))</f>
        <v/>
      </c>
      <c r="O71" s="50">
        <v>69</v>
      </c>
      <c r="P71" s="6">
        <f t="shared" si="13"/>
        <v>0</v>
      </c>
      <c r="Q71" s="6">
        <f t="shared" si="14"/>
        <v>0</v>
      </c>
      <c r="R71" s="51">
        <f t="shared" si="15"/>
        <v>0</v>
      </c>
    </row>
    <row r="72" spans="1:18" x14ac:dyDescent="0.25">
      <c r="A72" s="24"/>
      <c r="B72" s="57"/>
      <c r="C72" s="29" t="str">
        <f t="shared" si="16"/>
        <v/>
      </c>
      <c r="D72" s="32" t="str">
        <f t="shared" si="17"/>
        <v/>
      </c>
      <c r="E72" s="57"/>
      <c r="F72" s="29" t="str">
        <f t="shared" ref="F72:F106" si="19">IF(A72="","",E72/(1+$C$2)^(A72))</f>
        <v/>
      </c>
      <c r="G72" s="22" t="str">
        <f t="shared" si="18"/>
        <v/>
      </c>
      <c r="O72" s="50">
        <v>70</v>
      </c>
      <c r="P72" s="6">
        <f t="shared" si="13"/>
        <v>0</v>
      </c>
      <c r="Q72" s="6">
        <f t="shared" si="14"/>
        <v>0</v>
      </c>
      <c r="R72" s="51">
        <f t="shared" si="15"/>
        <v>0</v>
      </c>
    </row>
    <row r="73" spans="1:18" x14ac:dyDescent="0.25">
      <c r="A73" s="24"/>
      <c r="B73" s="57"/>
      <c r="C73" s="29" t="str">
        <f t="shared" si="16"/>
        <v/>
      </c>
      <c r="D73" s="32" t="str">
        <f t="shared" si="17"/>
        <v/>
      </c>
      <c r="E73" s="57"/>
      <c r="F73" s="29" t="str">
        <f t="shared" si="19"/>
        <v/>
      </c>
      <c r="G73" s="22" t="str">
        <f t="shared" si="18"/>
        <v/>
      </c>
      <c r="O73" s="50">
        <v>71</v>
      </c>
      <c r="P73" s="6">
        <f t="shared" si="13"/>
        <v>0</v>
      </c>
      <c r="Q73" s="6">
        <f t="shared" si="14"/>
        <v>0</v>
      </c>
      <c r="R73" s="51">
        <f t="shared" si="15"/>
        <v>0</v>
      </c>
    </row>
    <row r="74" spans="1:18" x14ac:dyDescent="0.25">
      <c r="A74" s="24"/>
      <c r="B74" s="57"/>
      <c r="C74" s="29" t="str">
        <f t="shared" si="16"/>
        <v/>
      </c>
      <c r="D74" s="32" t="str">
        <f t="shared" si="17"/>
        <v/>
      </c>
      <c r="E74" s="57"/>
      <c r="F74" s="29" t="str">
        <f t="shared" si="19"/>
        <v/>
      </c>
      <c r="G74" s="22" t="str">
        <f t="shared" si="18"/>
        <v/>
      </c>
      <c r="O74" s="50">
        <v>72</v>
      </c>
      <c r="P74" s="6">
        <f t="shared" si="13"/>
        <v>0</v>
      </c>
      <c r="Q74" s="6">
        <f t="shared" si="14"/>
        <v>0</v>
      </c>
      <c r="R74" s="51">
        <f t="shared" si="15"/>
        <v>0</v>
      </c>
    </row>
    <row r="75" spans="1:18" x14ac:dyDescent="0.25">
      <c r="A75" s="24"/>
      <c r="B75" s="57"/>
      <c r="C75" s="29" t="str">
        <f t="shared" si="16"/>
        <v/>
      </c>
      <c r="D75" s="32" t="str">
        <f t="shared" si="17"/>
        <v/>
      </c>
      <c r="E75" s="57"/>
      <c r="F75" s="29" t="str">
        <f t="shared" si="19"/>
        <v/>
      </c>
      <c r="G75" s="22" t="str">
        <f t="shared" si="18"/>
        <v/>
      </c>
      <c r="O75" s="50">
        <v>73</v>
      </c>
      <c r="P75" s="6">
        <f t="shared" si="13"/>
        <v>0</v>
      </c>
      <c r="Q75" s="6">
        <f t="shared" si="14"/>
        <v>0</v>
      </c>
      <c r="R75" s="51">
        <f t="shared" si="15"/>
        <v>0</v>
      </c>
    </row>
    <row r="76" spans="1:18" x14ac:dyDescent="0.25">
      <c r="A76" s="24"/>
      <c r="B76" s="57"/>
      <c r="C76" s="29" t="str">
        <f t="shared" si="16"/>
        <v/>
      </c>
      <c r="D76" s="32" t="str">
        <f t="shared" si="17"/>
        <v/>
      </c>
      <c r="E76" s="57"/>
      <c r="F76" s="29" t="str">
        <f t="shared" si="19"/>
        <v/>
      </c>
      <c r="G76" s="22" t="str">
        <f t="shared" si="18"/>
        <v/>
      </c>
      <c r="O76" s="50">
        <v>74</v>
      </c>
      <c r="P76" s="6">
        <f t="shared" si="13"/>
        <v>0</v>
      </c>
      <c r="Q76" s="6">
        <f t="shared" si="14"/>
        <v>0</v>
      </c>
      <c r="R76" s="51">
        <f t="shared" si="15"/>
        <v>0</v>
      </c>
    </row>
    <row r="77" spans="1:18" x14ac:dyDescent="0.25">
      <c r="A77" s="24"/>
      <c r="B77" s="57"/>
      <c r="C77" s="29" t="str">
        <f t="shared" si="16"/>
        <v/>
      </c>
      <c r="D77" s="32" t="str">
        <f t="shared" si="17"/>
        <v/>
      </c>
      <c r="E77" s="57"/>
      <c r="F77" s="29" t="str">
        <f t="shared" si="19"/>
        <v/>
      </c>
      <c r="G77" s="22" t="str">
        <f t="shared" si="18"/>
        <v/>
      </c>
      <c r="O77" s="50">
        <v>75</v>
      </c>
      <c r="P77" s="6">
        <f t="shared" si="13"/>
        <v>0</v>
      </c>
      <c r="Q77" s="6">
        <f t="shared" si="14"/>
        <v>0</v>
      </c>
      <c r="R77" s="51">
        <f t="shared" si="15"/>
        <v>0</v>
      </c>
    </row>
    <row r="78" spans="1:18" x14ac:dyDescent="0.25">
      <c r="A78" s="24"/>
      <c r="B78" s="57"/>
      <c r="C78" s="29" t="str">
        <f t="shared" si="16"/>
        <v/>
      </c>
      <c r="D78" s="32" t="str">
        <f t="shared" si="17"/>
        <v/>
      </c>
      <c r="E78" s="57"/>
      <c r="F78" s="29" t="str">
        <f t="shared" si="19"/>
        <v/>
      </c>
      <c r="G78" s="22" t="str">
        <f t="shared" si="18"/>
        <v/>
      </c>
      <c r="O78" s="50">
        <v>76</v>
      </c>
      <c r="P78" s="6">
        <f t="shared" si="13"/>
        <v>0</v>
      </c>
      <c r="Q78" s="6">
        <f t="shared" si="14"/>
        <v>0</v>
      </c>
      <c r="R78" s="51">
        <f t="shared" si="15"/>
        <v>0</v>
      </c>
    </row>
    <row r="79" spans="1:18" x14ac:dyDescent="0.25">
      <c r="A79" s="24"/>
      <c r="B79" s="57"/>
      <c r="C79" s="29" t="str">
        <f t="shared" si="16"/>
        <v/>
      </c>
      <c r="D79" s="32" t="str">
        <f t="shared" si="17"/>
        <v/>
      </c>
      <c r="E79" s="57"/>
      <c r="F79" s="29" t="str">
        <f t="shared" si="19"/>
        <v/>
      </c>
      <c r="G79" s="22" t="str">
        <f t="shared" si="18"/>
        <v/>
      </c>
      <c r="O79" s="50">
        <v>77</v>
      </c>
      <c r="P79" s="6">
        <f t="shared" si="13"/>
        <v>0</v>
      </c>
      <c r="Q79" s="6">
        <f t="shared" si="14"/>
        <v>0</v>
      </c>
      <c r="R79" s="51">
        <f t="shared" si="15"/>
        <v>0</v>
      </c>
    </row>
    <row r="80" spans="1:18" x14ac:dyDescent="0.25">
      <c r="A80" s="24"/>
      <c r="B80" s="57"/>
      <c r="C80" s="29" t="str">
        <f t="shared" si="16"/>
        <v/>
      </c>
      <c r="D80" s="32" t="str">
        <f t="shared" si="17"/>
        <v/>
      </c>
      <c r="E80" s="57"/>
      <c r="F80" s="29" t="str">
        <f t="shared" si="19"/>
        <v/>
      </c>
      <c r="G80" s="22" t="str">
        <f t="shared" si="18"/>
        <v/>
      </c>
      <c r="O80" s="50">
        <v>78</v>
      </c>
      <c r="P80" s="6">
        <f t="shared" si="13"/>
        <v>0</v>
      </c>
      <c r="Q80" s="6">
        <f t="shared" si="14"/>
        <v>0</v>
      </c>
      <c r="R80" s="51">
        <f t="shared" si="15"/>
        <v>0</v>
      </c>
    </row>
    <row r="81" spans="1:18" x14ac:dyDescent="0.25">
      <c r="A81" s="24"/>
      <c r="B81" s="57"/>
      <c r="C81" s="29" t="str">
        <f t="shared" si="16"/>
        <v/>
      </c>
      <c r="D81" s="32" t="str">
        <f t="shared" si="17"/>
        <v/>
      </c>
      <c r="E81" s="57"/>
      <c r="F81" s="29" t="str">
        <f t="shared" si="19"/>
        <v/>
      </c>
      <c r="G81" s="22" t="str">
        <f t="shared" si="18"/>
        <v/>
      </c>
      <c r="O81" s="50">
        <v>79</v>
      </c>
      <c r="P81" s="6">
        <f t="shared" si="13"/>
        <v>0</v>
      </c>
      <c r="Q81" s="6">
        <f t="shared" si="14"/>
        <v>0</v>
      </c>
      <c r="R81" s="51">
        <f t="shared" si="15"/>
        <v>0</v>
      </c>
    </row>
    <row r="82" spans="1:18" x14ac:dyDescent="0.25">
      <c r="A82" s="24"/>
      <c r="B82" s="57"/>
      <c r="C82" s="29" t="str">
        <f t="shared" si="16"/>
        <v/>
      </c>
      <c r="D82" s="32" t="str">
        <f t="shared" si="17"/>
        <v/>
      </c>
      <c r="E82" s="57"/>
      <c r="F82" s="29" t="str">
        <f t="shared" si="19"/>
        <v/>
      </c>
      <c r="G82" s="22" t="str">
        <f t="shared" si="18"/>
        <v/>
      </c>
      <c r="O82" s="50">
        <v>80</v>
      </c>
      <c r="P82" s="6">
        <f t="shared" si="13"/>
        <v>0</v>
      </c>
      <c r="Q82" s="6">
        <f t="shared" si="14"/>
        <v>0</v>
      </c>
      <c r="R82" s="51">
        <f t="shared" si="15"/>
        <v>0</v>
      </c>
    </row>
    <row r="83" spans="1:18" x14ac:dyDescent="0.25">
      <c r="A83" s="24"/>
      <c r="B83" s="57"/>
      <c r="C83" s="29" t="str">
        <f t="shared" si="16"/>
        <v/>
      </c>
      <c r="D83" s="32" t="str">
        <f t="shared" si="17"/>
        <v/>
      </c>
      <c r="E83" s="57"/>
      <c r="F83" s="29" t="str">
        <f t="shared" si="19"/>
        <v/>
      </c>
      <c r="G83" s="22" t="str">
        <f t="shared" si="18"/>
        <v/>
      </c>
      <c r="O83" s="50">
        <v>81</v>
      </c>
      <c r="P83" s="6">
        <f t="shared" si="13"/>
        <v>0</v>
      </c>
      <c r="Q83" s="6">
        <f t="shared" si="14"/>
        <v>0</v>
      </c>
      <c r="R83" s="51">
        <f t="shared" si="15"/>
        <v>0</v>
      </c>
    </row>
    <row r="84" spans="1:18" x14ac:dyDescent="0.25">
      <c r="A84" s="24"/>
      <c r="B84" s="57"/>
      <c r="C84" s="29" t="str">
        <f t="shared" si="16"/>
        <v/>
      </c>
      <c r="D84" s="32" t="str">
        <f t="shared" si="17"/>
        <v/>
      </c>
      <c r="E84" s="57"/>
      <c r="F84" s="29" t="str">
        <f t="shared" si="19"/>
        <v/>
      </c>
      <c r="G84" s="22" t="str">
        <f t="shared" si="18"/>
        <v/>
      </c>
      <c r="O84" s="50">
        <v>82</v>
      </c>
      <c r="P84" s="6">
        <f t="shared" si="13"/>
        <v>0</v>
      </c>
      <c r="Q84" s="6">
        <f t="shared" si="14"/>
        <v>0</v>
      </c>
      <c r="R84" s="51">
        <f t="shared" si="15"/>
        <v>0</v>
      </c>
    </row>
    <row r="85" spans="1:18" x14ac:dyDescent="0.25">
      <c r="A85" s="24"/>
      <c r="B85" s="57"/>
      <c r="C85" s="29" t="str">
        <f t="shared" si="16"/>
        <v/>
      </c>
      <c r="D85" s="32" t="str">
        <f t="shared" si="17"/>
        <v/>
      </c>
      <c r="E85" s="57"/>
      <c r="F85" s="29" t="str">
        <f t="shared" si="19"/>
        <v/>
      </c>
      <c r="G85" s="22" t="str">
        <f t="shared" si="18"/>
        <v/>
      </c>
      <c r="O85" s="50">
        <v>83</v>
      </c>
      <c r="P85" s="6">
        <f t="shared" si="13"/>
        <v>0</v>
      </c>
      <c r="Q85" s="6">
        <f t="shared" si="14"/>
        <v>0</v>
      </c>
      <c r="R85" s="51">
        <f t="shared" si="15"/>
        <v>0</v>
      </c>
    </row>
    <row r="86" spans="1:18" x14ac:dyDescent="0.25">
      <c r="A86" s="24"/>
      <c r="B86" s="57"/>
      <c r="C86" s="29" t="str">
        <f t="shared" si="16"/>
        <v/>
      </c>
      <c r="D86" s="32" t="str">
        <f t="shared" si="17"/>
        <v/>
      </c>
      <c r="E86" s="57"/>
      <c r="F86" s="29" t="str">
        <f t="shared" si="19"/>
        <v/>
      </c>
      <c r="G86" s="22" t="str">
        <f t="shared" si="18"/>
        <v/>
      </c>
      <c r="O86" s="50">
        <v>84</v>
      </c>
      <c r="P86" s="6">
        <f t="shared" si="13"/>
        <v>0</v>
      </c>
      <c r="Q86" s="6">
        <f t="shared" si="14"/>
        <v>0</v>
      </c>
      <c r="R86" s="51">
        <f t="shared" si="15"/>
        <v>0</v>
      </c>
    </row>
    <row r="87" spans="1:18" x14ac:dyDescent="0.25">
      <c r="A87" s="24"/>
      <c r="B87" s="57"/>
      <c r="C87" s="29" t="str">
        <f t="shared" si="16"/>
        <v/>
      </c>
      <c r="D87" s="32" t="str">
        <f t="shared" si="17"/>
        <v/>
      </c>
      <c r="E87" s="57"/>
      <c r="F87" s="29" t="str">
        <f t="shared" si="19"/>
        <v/>
      </c>
      <c r="G87" s="22" t="str">
        <f t="shared" si="18"/>
        <v/>
      </c>
      <c r="O87" s="50">
        <v>85</v>
      </c>
      <c r="P87" s="6">
        <f t="shared" si="13"/>
        <v>0</v>
      </c>
      <c r="Q87" s="6">
        <f t="shared" si="14"/>
        <v>0</v>
      </c>
      <c r="R87" s="51">
        <f t="shared" si="15"/>
        <v>0</v>
      </c>
    </row>
    <row r="88" spans="1:18" x14ac:dyDescent="0.25">
      <c r="A88" s="24"/>
      <c r="B88" s="57"/>
      <c r="C88" s="29" t="str">
        <f t="shared" si="16"/>
        <v/>
      </c>
      <c r="D88" s="32" t="str">
        <f t="shared" si="17"/>
        <v/>
      </c>
      <c r="E88" s="57"/>
      <c r="F88" s="29" t="str">
        <f t="shared" si="19"/>
        <v/>
      </c>
      <c r="G88" s="22" t="str">
        <f t="shared" si="18"/>
        <v/>
      </c>
      <c r="O88" s="50">
        <v>86</v>
      </c>
      <c r="P88" s="6">
        <f t="shared" si="13"/>
        <v>0</v>
      </c>
      <c r="Q88" s="6">
        <f t="shared" si="14"/>
        <v>0</v>
      </c>
      <c r="R88" s="51">
        <f t="shared" si="15"/>
        <v>0</v>
      </c>
    </row>
    <row r="89" spans="1:18" x14ac:dyDescent="0.25">
      <c r="A89" s="24"/>
      <c r="B89" s="57"/>
      <c r="C89" s="29" t="str">
        <f t="shared" si="16"/>
        <v/>
      </c>
      <c r="D89" s="32" t="str">
        <f t="shared" si="17"/>
        <v/>
      </c>
      <c r="E89" s="57"/>
      <c r="F89" s="29" t="str">
        <f t="shared" si="19"/>
        <v/>
      </c>
      <c r="G89" s="22" t="str">
        <f t="shared" si="18"/>
        <v/>
      </c>
      <c r="O89" s="50">
        <v>87</v>
      </c>
      <c r="P89" s="6">
        <f t="shared" si="13"/>
        <v>0</v>
      </c>
      <c r="Q89" s="6">
        <f t="shared" si="14"/>
        <v>0</v>
      </c>
      <c r="R89" s="51">
        <f t="shared" si="15"/>
        <v>0</v>
      </c>
    </row>
    <row r="90" spans="1:18" x14ac:dyDescent="0.25">
      <c r="A90" s="24"/>
      <c r="B90" s="57"/>
      <c r="C90" s="29" t="str">
        <f t="shared" si="16"/>
        <v/>
      </c>
      <c r="D90" s="32" t="str">
        <f t="shared" si="17"/>
        <v/>
      </c>
      <c r="E90" s="57"/>
      <c r="F90" s="29" t="str">
        <f t="shared" si="19"/>
        <v/>
      </c>
      <c r="G90" s="22" t="str">
        <f t="shared" si="18"/>
        <v/>
      </c>
      <c r="O90" s="50">
        <v>88</v>
      </c>
      <c r="P90" s="6">
        <f t="shared" si="13"/>
        <v>0</v>
      </c>
      <c r="Q90" s="6">
        <f t="shared" si="14"/>
        <v>0</v>
      </c>
      <c r="R90" s="51">
        <f t="shared" si="15"/>
        <v>0</v>
      </c>
    </row>
    <row r="91" spans="1:18" x14ac:dyDescent="0.25">
      <c r="A91" s="24"/>
      <c r="B91" s="57"/>
      <c r="C91" s="29" t="str">
        <f t="shared" si="16"/>
        <v/>
      </c>
      <c r="D91" s="32" t="str">
        <f t="shared" si="17"/>
        <v/>
      </c>
      <c r="E91" s="57"/>
      <c r="F91" s="29" t="str">
        <f t="shared" si="19"/>
        <v/>
      </c>
      <c r="G91" s="22" t="str">
        <f t="shared" si="18"/>
        <v/>
      </c>
      <c r="O91" s="50">
        <v>89</v>
      </c>
      <c r="P91" s="6">
        <f t="shared" si="13"/>
        <v>0</v>
      </c>
      <c r="Q91" s="6">
        <f t="shared" si="14"/>
        <v>0</v>
      </c>
      <c r="R91" s="51">
        <f t="shared" si="15"/>
        <v>0</v>
      </c>
    </row>
    <row r="92" spans="1:18" x14ac:dyDescent="0.25">
      <c r="A92" s="24"/>
      <c r="B92" s="57"/>
      <c r="C92" s="29" t="str">
        <f t="shared" si="16"/>
        <v/>
      </c>
      <c r="D92" s="32" t="str">
        <f t="shared" si="17"/>
        <v/>
      </c>
      <c r="E92" s="57"/>
      <c r="F92" s="29" t="str">
        <f t="shared" si="19"/>
        <v/>
      </c>
      <c r="G92" s="22" t="str">
        <f t="shared" si="18"/>
        <v/>
      </c>
      <c r="O92" s="50">
        <v>90</v>
      </c>
      <c r="P92" s="6">
        <f t="shared" si="13"/>
        <v>0</v>
      </c>
      <c r="Q92" s="6">
        <f t="shared" si="14"/>
        <v>0</v>
      </c>
      <c r="R92" s="51">
        <f t="shared" si="15"/>
        <v>0</v>
      </c>
    </row>
    <row r="93" spans="1:18" x14ac:dyDescent="0.25">
      <c r="A93" s="24"/>
      <c r="B93" s="57"/>
      <c r="C93" s="29" t="str">
        <f t="shared" si="16"/>
        <v/>
      </c>
      <c r="D93" s="32" t="str">
        <f t="shared" si="17"/>
        <v/>
      </c>
      <c r="E93" s="57"/>
      <c r="F93" s="29" t="str">
        <f t="shared" si="19"/>
        <v/>
      </c>
      <c r="G93" s="22" t="str">
        <f t="shared" si="18"/>
        <v/>
      </c>
      <c r="O93" s="50">
        <v>91</v>
      </c>
      <c r="P93" s="6">
        <f t="shared" si="13"/>
        <v>0</v>
      </c>
      <c r="Q93" s="6">
        <f t="shared" si="14"/>
        <v>0</v>
      </c>
      <c r="R93" s="51">
        <f t="shared" si="15"/>
        <v>0</v>
      </c>
    </row>
    <row r="94" spans="1:18" x14ac:dyDescent="0.25">
      <c r="A94" s="24"/>
      <c r="B94" s="57"/>
      <c r="C94" s="29" t="str">
        <f t="shared" si="16"/>
        <v/>
      </c>
      <c r="D94" s="32" t="str">
        <f t="shared" si="17"/>
        <v/>
      </c>
      <c r="E94" s="57"/>
      <c r="F94" s="29" t="str">
        <f t="shared" si="19"/>
        <v/>
      </c>
      <c r="G94" s="22" t="str">
        <f t="shared" si="18"/>
        <v/>
      </c>
      <c r="O94" s="50">
        <v>92</v>
      </c>
      <c r="P94" s="6">
        <f t="shared" si="13"/>
        <v>0</v>
      </c>
      <c r="Q94" s="6">
        <f t="shared" si="14"/>
        <v>0</v>
      </c>
      <c r="R94" s="51">
        <f t="shared" si="15"/>
        <v>0</v>
      </c>
    </row>
    <row r="95" spans="1:18" x14ac:dyDescent="0.25">
      <c r="A95" s="24"/>
      <c r="B95" s="57"/>
      <c r="C95" s="29" t="str">
        <f t="shared" si="16"/>
        <v/>
      </c>
      <c r="D95" s="32" t="str">
        <f t="shared" si="17"/>
        <v/>
      </c>
      <c r="E95" s="57"/>
      <c r="F95" s="29" t="str">
        <f t="shared" si="19"/>
        <v/>
      </c>
      <c r="G95" s="22" t="str">
        <f t="shared" si="18"/>
        <v/>
      </c>
      <c r="O95" s="50">
        <v>93</v>
      </c>
      <c r="P95" s="6">
        <f t="shared" si="13"/>
        <v>0</v>
      </c>
      <c r="Q95" s="6">
        <f t="shared" si="14"/>
        <v>0</v>
      </c>
      <c r="R95" s="51">
        <f t="shared" si="15"/>
        <v>0</v>
      </c>
    </row>
    <row r="96" spans="1:18" x14ac:dyDescent="0.25">
      <c r="A96" s="24"/>
      <c r="B96" s="57"/>
      <c r="C96" s="29" t="str">
        <f t="shared" si="16"/>
        <v/>
      </c>
      <c r="D96" s="32" t="str">
        <f t="shared" si="17"/>
        <v/>
      </c>
      <c r="E96" s="57"/>
      <c r="F96" s="29" t="str">
        <f t="shared" si="19"/>
        <v/>
      </c>
      <c r="G96" s="22" t="str">
        <f t="shared" si="18"/>
        <v/>
      </c>
      <c r="O96" s="50">
        <v>94</v>
      </c>
      <c r="P96" s="6">
        <f t="shared" si="13"/>
        <v>0</v>
      </c>
      <c r="Q96" s="6">
        <f t="shared" si="14"/>
        <v>0</v>
      </c>
      <c r="R96" s="51">
        <f t="shared" si="15"/>
        <v>0</v>
      </c>
    </row>
    <row r="97" spans="1:18" x14ac:dyDescent="0.25">
      <c r="A97" s="24"/>
      <c r="B97" s="57"/>
      <c r="C97" s="29" t="str">
        <f t="shared" si="16"/>
        <v/>
      </c>
      <c r="D97" s="32" t="str">
        <f t="shared" si="17"/>
        <v/>
      </c>
      <c r="E97" s="57"/>
      <c r="F97" s="29" t="str">
        <f t="shared" si="19"/>
        <v/>
      </c>
      <c r="G97" s="22" t="str">
        <f t="shared" si="18"/>
        <v/>
      </c>
      <c r="O97" s="50">
        <v>95</v>
      </c>
      <c r="P97" s="6">
        <f t="shared" si="13"/>
        <v>0</v>
      </c>
      <c r="Q97" s="6">
        <f t="shared" si="14"/>
        <v>0</v>
      </c>
      <c r="R97" s="51">
        <f t="shared" si="15"/>
        <v>0</v>
      </c>
    </row>
    <row r="98" spans="1:18" x14ac:dyDescent="0.25">
      <c r="A98" s="24"/>
      <c r="B98" s="57"/>
      <c r="C98" s="29" t="str">
        <f t="shared" si="16"/>
        <v/>
      </c>
      <c r="D98" s="32" t="str">
        <f t="shared" si="17"/>
        <v/>
      </c>
      <c r="E98" s="57"/>
      <c r="F98" s="29" t="str">
        <f t="shared" si="19"/>
        <v/>
      </c>
      <c r="G98" s="22" t="str">
        <f t="shared" si="18"/>
        <v/>
      </c>
      <c r="O98" s="50">
        <v>96</v>
      </c>
      <c r="P98" s="6">
        <f t="shared" si="13"/>
        <v>0</v>
      </c>
      <c r="Q98" s="6">
        <f t="shared" si="14"/>
        <v>0</v>
      </c>
      <c r="R98" s="51">
        <f t="shared" si="15"/>
        <v>0</v>
      </c>
    </row>
    <row r="99" spans="1:18" x14ac:dyDescent="0.25">
      <c r="A99" s="24"/>
      <c r="B99" s="57"/>
      <c r="C99" s="29" t="str">
        <f t="shared" si="16"/>
        <v/>
      </c>
      <c r="D99" s="32" t="str">
        <f t="shared" si="17"/>
        <v/>
      </c>
      <c r="E99" s="57"/>
      <c r="F99" s="29" t="str">
        <f t="shared" si="19"/>
        <v/>
      </c>
      <c r="G99" s="22" t="str">
        <f t="shared" si="18"/>
        <v/>
      </c>
      <c r="O99" s="50">
        <v>97</v>
      </c>
      <c r="P99" s="6">
        <f t="shared" si="13"/>
        <v>0</v>
      </c>
      <c r="Q99" s="6">
        <f t="shared" si="14"/>
        <v>0</v>
      </c>
      <c r="R99" s="51">
        <f t="shared" si="15"/>
        <v>0</v>
      </c>
    </row>
    <row r="100" spans="1:18" x14ac:dyDescent="0.25">
      <c r="A100" s="24"/>
      <c r="B100" s="57"/>
      <c r="C100" s="29" t="str">
        <f t="shared" si="16"/>
        <v/>
      </c>
      <c r="D100" s="32" t="str">
        <f t="shared" si="17"/>
        <v/>
      </c>
      <c r="E100" s="57"/>
      <c r="F100" s="29" t="str">
        <f t="shared" si="19"/>
        <v/>
      </c>
      <c r="G100" s="22" t="str">
        <f t="shared" si="18"/>
        <v/>
      </c>
      <c r="O100" s="50">
        <v>98</v>
      </c>
      <c r="P100" s="6">
        <f t="shared" si="13"/>
        <v>0</v>
      </c>
      <c r="Q100" s="6">
        <f t="shared" si="14"/>
        <v>0</v>
      </c>
      <c r="R100" s="51">
        <f t="shared" si="15"/>
        <v>0</v>
      </c>
    </row>
    <row r="101" spans="1:18" x14ac:dyDescent="0.25">
      <c r="A101" s="24"/>
      <c r="B101" s="57"/>
      <c r="C101" s="29" t="str">
        <f t="shared" si="16"/>
        <v/>
      </c>
      <c r="D101" s="32" t="str">
        <f t="shared" si="17"/>
        <v/>
      </c>
      <c r="E101" s="57"/>
      <c r="F101" s="29" t="str">
        <f t="shared" si="19"/>
        <v/>
      </c>
      <c r="G101" s="22" t="str">
        <f t="shared" si="18"/>
        <v/>
      </c>
      <c r="O101" s="52">
        <v>99</v>
      </c>
      <c r="P101" s="53">
        <f t="shared" si="13"/>
        <v>0</v>
      </c>
      <c r="Q101" s="53">
        <f t="shared" si="14"/>
        <v>0</v>
      </c>
      <c r="R101" s="54">
        <f t="shared" si="15"/>
        <v>0</v>
      </c>
    </row>
    <row r="102" spans="1:18" x14ac:dyDescent="0.25">
      <c r="A102" s="24"/>
      <c r="B102" s="57"/>
      <c r="C102" s="29" t="str">
        <f t="shared" si="16"/>
        <v/>
      </c>
      <c r="D102" s="32" t="str">
        <f t="shared" si="17"/>
        <v/>
      </c>
      <c r="E102" s="57"/>
      <c r="F102" s="29" t="str">
        <f t="shared" si="19"/>
        <v/>
      </c>
      <c r="G102" s="22" t="str">
        <f t="shared" si="18"/>
        <v/>
      </c>
    </row>
    <row r="103" spans="1:18" x14ac:dyDescent="0.25">
      <c r="A103" s="24"/>
      <c r="B103" s="57"/>
      <c r="C103" s="29" t="str">
        <f t="shared" si="16"/>
        <v/>
      </c>
      <c r="D103" s="32" t="str">
        <f t="shared" si="17"/>
        <v/>
      </c>
      <c r="E103" s="57"/>
      <c r="F103" s="29" t="str">
        <f t="shared" si="19"/>
        <v/>
      </c>
      <c r="G103" s="22" t="str">
        <f t="shared" si="18"/>
        <v/>
      </c>
    </row>
    <row r="104" spans="1:18" x14ac:dyDescent="0.25">
      <c r="A104" s="24"/>
      <c r="B104" s="57"/>
      <c r="C104" s="29" t="str">
        <f t="shared" si="16"/>
        <v/>
      </c>
      <c r="D104" s="32" t="str">
        <f t="shared" si="17"/>
        <v/>
      </c>
      <c r="E104" s="57"/>
      <c r="F104" s="29" t="str">
        <f t="shared" si="19"/>
        <v/>
      </c>
      <c r="G104" s="22" t="str">
        <f t="shared" si="18"/>
        <v/>
      </c>
    </row>
    <row r="105" spans="1:18" x14ac:dyDescent="0.25">
      <c r="A105" s="24"/>
      <c r="B105" s="57"/>
      <c r="C105" s="29" t="str">
        <f t="shared" si="16"/>
        <v/>
      </c>
      <c r="D105" s="32" t="str">
        <f t="shared" si="17"/>
        <v/>
      </c>
      <c r="E105" s="57"/>
      <c r="F105" s="29" t="str">
        <f t="shared" si="19"/>
        <v/>
      </c>
      <c r="G105" s="22" t="str">
        <f t="shared" si="18"/>
        <v/>
      </c>
    </row>
    <row r="106" spans="1:18" ht="13.8" thickBot="1" x14ac:dyDescent="0.3">
      <c r="A106" s="25"/>
      <c r="B106" s="58"/>
      <c r="C106" s="30" t="str">
        <f t="shared" si="16"/>
        <v/>
      </c>
      <c r="D106" s="33" t="str">
        <f t="shared" si="17"/>
        <v/>
      </c>
      <c r="E106" s="58"/>
      <c r="F106" s="30" t="str">
        <f t="shared" si="19"/>
        <v/>
      </c>
      <c r="G106" s="23" t="str">
        <f t="shared" si="18"/>
        <v/>
      </c>
    </row>
    <row r="107" spans="1:18" x14ac:dyDescent="0.25">
      <c r="F107" s="12"/>
      <c r="G107" s="12"/>
    </row>
    <row r="212" spans="3:3" x14ac:dyDescent="0.25">
      <c r="C212" s="2">
        <v>0</v>
      </c>
    </row>
  </sheetData>
  <mergeCells count="2">
    <mergeCell ref="B4:D4"/>
    <mergeCell ref="E4:G4"/>
  </mergeCells>
  <phoneticPr fontId="0" type="noConversion"/>
  <printOptions horizontalCentered="1" verticalCentered="1" gridLinesSet="0"/>
  <pageMargins left="0.78740157480314965" right="0.78740157480314965" top="0.98425196850393704" bottom="0.98425196850393704" header="0.51181102362204722" footer="0.51181102362204722"/>
  <pageSetup orientation="landscape" horizontalDpi="4294967292" verticalDpi="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Planilhas</vt:lpstr>
      </vt:variant>
      <vt:variant>
        <vt:i4>1</vt:i4>
      </vt:variant>
      <vt:variant>
        <vt:lpstr>Gráficos</vt:lpstr>
      </vt:variant>
      <vt:variant>
        <vt:i4>1</vt:i4>
      </vt:variant>
      <vt:variant>
        <vt:lpstr>Intervalos nomeados</vt:lpstr>
      </vt:variant>
      <vt:variant>
        <vt:i4>1</vt:i4>
      </vt:variant>
    </vt:vector>
  </HeadingPairs>
  <TitlesOfParts>
    <vt:vector size="3" baseType="lpstr">
      <vt:lpstr>Avaliação de Projetos</vt:lpstr>
      <vt:lpstr>Gráfico</vt:lpstr>
      <vt:lpstr>'Avaliação de Projetos'!Area_de_impressao</vt:lpstr>
    </vt:vector>
  </TitlesOfParts>
  <Company>ESALQ/USP - IPEF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Critérios de Avaliação de Projetos - Excel 5</dc:title>
  <dc:subject>Matemática Financeira na Gestão Florestal</dc:subject>
  <dc:creator>Luiz Carlos Estraviz Rodriguez</dc:creator>
  <cp:keywords>VLP, TIR, B/C</cp:keywords>
  <dc:description>Planilha para cálculo do Valor Líquido Presente (VLP), Taxa Interna de Retorno (TIR) e Razão Benefício/Custo (B/C).</dc:description>
  <cp:lastModifiedBy>Sollano Rabelo Braga</cp:lastModifiedBy>
  <cp:lastPrinted>1999-06-28T20:00:04Z</cp:lastPrinted>
  <dcterms:created xsi:type="dcterms:W3CDTF">1997-11-10T01:20:09Z</dcterms:created>
  <dcterms:modified xsi:type="dcterms:W3CDTF">2018-12-19T18:36:25Z</dcterms:modified>
</cp:coreProperties>
</file>